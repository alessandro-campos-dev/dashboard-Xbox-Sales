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876" documentId="13_ncr:1_{3C2F8ED6-40B2-4E08-832A-7140AC03FA60}" xr6:coauthVersionLast="47" xr6:coauthVersionMax="47" xr10:uidLastSave="{7E80BE10-3A37-4773-ACF7-21239940E63C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1">#N/A</definedName>
  </definedNames>
  <calcPr calcId="191028"/>
  <pivotCaches>
    <pivotCache cacheId="333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C36" i="3"/>
  <c r="C23" i="3"/>
  <c r="E7" i="4" s="1"/>
</calcChain>
</file>

<file path=xl/sharedStrings.xml><?xml version="1.0" encoding="utf-8"?>
<sst xmlns="http://schemas.openxmlformats.org/spreadsheetml/2006/main" count="2022" uniqueCount="323">
  <si>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</si>
  <si>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</si>
  <si>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</si>
  <si>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</si>
  <si>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</si>
  <si>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</si>
  <si>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</si>
  <si>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</si>
  <si>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</si>
  <si>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</si>
  <si>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</si>
  <si>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</si>
  <si>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</si>
  <si>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</si>
  <si>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</si>
  <si>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</si>
  <si>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</si>
  <si>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</si>
  <si>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</si>
  <si>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</si>
  <si>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</si>
  <si>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</si>
  <si>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</si>
  <si>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</si>
  <si>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</si>
  <si>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</si>
  <si>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</si>
  <si>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</si>
  <si>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</si>
  <si>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</si>
  <si>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</si>
  <si>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</si>
  <si>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</si>
  <si>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</si>
  <si>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</si>
  <si>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</si>
  <si>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</si>
  <si>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</si>
  <si>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</si>
  <si>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</si>
  <si>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</si>
  <si>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</si>
  <si>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</si>
  <si>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</si>
  <si>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</si>
  <si>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</si>
  <si>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</si>
  <si>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</si>
  <si>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</si>
  <si>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</si>
  <si>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</si>
  <si>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</si>
  <si>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</si>
  <si>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</si>
  <si>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</si>
  <si>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</si>
  <si>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</si>
  <si>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</si>
  <si>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</si>
  <si>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</si>
  <si>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</si>
  <si>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</si>
  <si>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</si>
  <si>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</si>
  <si>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</si>
  <si>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</si>
  <si>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</si>
  <si>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</si>
  <si>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</si>
  <si>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</si>
  <si>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</si>
  <si>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</si>
  <si>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</si>
  <si>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</si>
  <si>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</si>
  <si>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</si>
  <si>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</si>
  <si>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</si>
  <si>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</si>
  <si>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</si>
  <si>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</si>
  <si>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</si>
  <si>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</si>
  <si>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</si>
  <si>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</si>
  <si>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</si>
  <si>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</si>
  <si>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</si>
  <si>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</si>
  <si>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</si>
  <si>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</si>
  <si>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</si>
  <si>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</si>
  <si>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</si>
  <si>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</si>
  <si>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</si>
  <si>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</si>
  <si>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</si>
  <si>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</si>
  <si>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</si>
  <si>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</si>
  <si>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</si>
  <si>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</si>
  <si>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</si>
  <si>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</si>
  <si>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</si>
  <si>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</si>
  <si>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</si>
  <si>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</si>
  <si>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</si>
  <si>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</si>
  <si>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</si>
  <si>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</si>
  <si>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</si>
  <si>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</si>
  <si>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</si>
  <si>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</si>
  <si>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</si>
  <si>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</si>
  <si>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</si>
  <si>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</si>
  <si>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</si>
  <si>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</si>
  <si>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</si>
  <si>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</si>
  <si>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</si>
  <si>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</si>
  <si>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</si>
  <si>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</si>
  <si>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</si>
  <si>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</si>
  <si>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</si>
  <si>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</si>
  <si>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</si>
  <si>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</si>
  <si>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</si>
  <si>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</si>
  <si>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</si>
  <si>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</si>
  <si>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</si>
  <si>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</si>
  <si>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</si>
  <si>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</si>
  <si>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</si>
  <si>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</si>
  <si>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</si>
  <si>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</si>
  <si>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</si>
  <si>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</si>
  <si>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</si>
  <si>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</si>
  <si>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</si>
  <si>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</si>
  <si>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</si>
  <si>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</si>
  <si>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</si>
  <si>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</si>
  <si>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</si>
  <si>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</si>
  <si>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</si>
  <si>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</si>
  <si>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</si>
  <si>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</si>
  <si>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</si>
  <si>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</si>
  <si>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</si>
  <si>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</si>
  <si>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</si>
  <si>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</si>
  <si>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</si>
  <si>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</si>
  <si>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</si>
  <si>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</si>
  <si>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</si>
  <si>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</si>
  <si>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</si>
  <si>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</si>
  <si>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</si>
  <si>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</si>
  <si>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</si>
  <si>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</si>
  <si>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</si>
  <si>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</si>
  <si>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</si>
  <si>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</si>
  <si>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</si>
  <si>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</si>
  <si>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</si>
  <si>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</si>
  <si>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</si>
  <si>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</si>
  <si>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</si>
  <si>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</si>
  <si>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</si>
  <si>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</si>
  <si>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</si>
  <si>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</si>
  <si>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</si>
  <si>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</si>
  <si>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</si>
  <si>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</si>
  <si>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</si>
  <si>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</si>
  <si>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</si>
  <si>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</si>
  <si>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</si>
  <si>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</si>
  <si>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</si>
  <si>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</si>
  <si>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</si>
  <si>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</si>
  <si>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</si>
  <si>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</si>
  <si>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</si>
  <si>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</si>
  <si>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</si>
  <si>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</si>
  <si>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</si>
  <si>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</si>
  <si>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</si>
  <si>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</si>
  <si>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</si>
  <si>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</si>
  <si>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</si>
  <si>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</si>
  <si>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</si>
  <si>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</si>
  <si>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</si>
  <si>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</si>
  <si>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</si>
  <si>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</si>
  <si>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</si>
  <si>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</si>
  <si>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</si>
  <si>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</si>
  <si>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</si>
  <si>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</si>
  <si>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</si>
  <si>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</si>
  <si>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</si>
  <si>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</si>
  <si>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</si>
  <si>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</si>
  <si>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</si>
  <si>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</si>
  <si>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</si>
  <si>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</si>
  <si>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</si>
  <si>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</si>
  <si>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</si>
  <si>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</si>
  <si>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</si>
  <si>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</si>
  <si>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</si>
  <si>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</si>
  <si>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</si>
  <si>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</si>
  <si>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</si>
  <si>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</si>
  <si>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</si>
  <si>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</si>
  <si>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</si>
  <si>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</si>
  <si>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</si>
  <si>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</si>
  <si>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</si>
  <si>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</si>
  <si>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</si>
  <si>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</si>
  <si>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</si>
  <si>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</si>
  <si>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</si>
  <si>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</si>
  <si>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</si>
  <si>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</si>
  <si>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</si>
  <si>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</si>
  <si>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</si>
  <si>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</si>
  <si>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</si>
  <si>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</si>
  <si>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</si>
  <si>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</si>
  <si>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</si>
  <si>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</si>
  <si>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</si>
  <si>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</si>
  <si>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</si>
  <si>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</si>
  <si>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</si>
  <si>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</si>
  <si>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</si>
  <si>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</si>
  <si>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</si>
  <si>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</si>
  <si>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</si>
  <si>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</si>
  <si>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</si>
  <si>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</si>
  <si>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</si>
  <si>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</si>
  <si>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</si>
  <si>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</si>
  <si>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</si>
  <si>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</si>
  <si>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</si>
  <si>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</si>
  <si>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</si>
  <si>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</si>
  <si>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</si>
  <si>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</si>
  <si>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</si>
  <si>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</si>
  <si>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Perguntas de Négócio</t>
  </si>
  <si>
    <r>
      <rPr>
        <sz val="11"/>
        <color rgb="FF000000"/>
        <rFont val="Aptos Narrow"/>
        <scheme val="minor"/>
      </rPr>
      <t>1. Qual o faturamento total de vendas de planos anuais</t>
    </r>
    <r>
      <rPr>
        <b/>
        <sz val="11"/>
        <color rgb="FF000000"/>
        <rFont val="Aptos Narrow"/>
        <scheme val="minor"/>
      </rPr>
      <t xml:space="preserve"> (contendo todas as assinaturas anuais agregadas)</t>
    </r>
  </si>
  <si>
    <r>
      <rPr>
        <sz val="11"/>
        <color rgb="FF000000"/>
        <rFont val="Aptos Narrow"/>
        <scheme val="minor"/>
      </rPr>
      <t xml:space="preserve">2. Qual o faturamento total de vendas de planos anuais </t>
    </r>
    <r>
      <rPr>
        <b/>
        <sz val="11"/>
        <color rgb="FF000000"/>
        <rFont val="Aptos Narrow"/>
        <scheme val="minor"/>
      </rPr>
      <t>(separado por auto renovação)</t>
    </r>
  </si>
  <si>
    <t>Soma de Total Value</t>
  </si>
  <si>
    <t>Total Geral</t>
  </si>
  <si>
    <t>3. Total de vendas de assinaturas do EA play</t>
  </si>
  <si>
    <t>Soma de EA Play Season PassPrice</t>
  </si>
  <si>
    <t>4. Total de vendas de assinaturas do Minercraft Season Pass</t>
  </si>
  <si>
    <t>Soma de Minecraft Season Pass Price</t>
  </si>
  <si>
    <t>XBOX GAMES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</si>
</sst>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6"/>
      <color theme="0"/>
      <name val="Aptos Narrow"/>
      <scheme val="minor"/>
    </font>
    <font>
      <b/>
      <sz val="20"/>
      <color rgb="FF22C55E"/>
      <name val="Segoe UI"/>
    </font>
    <font>
      <sz val="11"/>
      <color rgb="FF242424"/>
      <name val="Aptos Narrow"/>
      <charset val="1"/>
    </font>
    <font>
      <b/>
      <sz val="2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0"/>
      <name val="Aptos Narrow"/>
      <charset val="1"/>
    </font>
    <font>
      <b/>
      <sz val="14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0A73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4" fillId="0" borderId="0" xfId="0" applyFont="1"/>
    <xf numFmtId="0" fontId="6" fillId="8" borderId="0" xfId="0" applyFont="1" applyFill="1"/>
    <xf numFmtId="0" fontId="0" fillId="8" borderId="0" xfId="0" applyFill="1"/>
    <xf numFmtId="0" fontId="7" fillId="0" borderId="2" xfId="0" applyFont="1" applyBorder="1"/>
    <xf numFmtId="0" fontId="0" fillId="9" borderId="0" xfId="0" applyFill="1"/>
    <xf numFmtId="0" fontId="0" fillId="0" borderId="0" xfId="0" applyAlignment="1">
      <alignment wrapText="1"/>
    </xf>
    <xf numFmtId="0" fontId="0" fillId="0" borderId="0" xfId="0" applyNumberFormat="1"/>
    <xf numFmtId="164" fontId="0" fillId="0" borderId="0" xfId="0" applyNumberFormat="1"/>
    <xf numFmtId="0" fontId="0" fillId="10" borderId="0" xfId="0" applyFill="1"/>
    <xf numFmtId="0" fontId="8" fillId="0" borderId="0" xfId="0" applyFont="1"/>
    <xf numFmtId="164" fontId="9" fillId="10" borderId="0" xfId="0" applyNumberFormat="1" applyFont="1" applyFill="1" applyAlignment="1">
      <alignment horizontal="center" vertical="center"/>
    </xf>
    <xf numFmtId="0" fontId="0" fillId="11" borderId="0" xfId="0" applyFill="1"/>
    <xf numFmtId="164" fontId="10" fillId="10" borderId="0" xfId="0" applyNumberFormat="1" applyFont="1" applyFill="1" applyAlignment="1">
      <alignment horizontal="center" vertical="center" wrapText="1"/>
    </xf>
    <xf numFmtId="0" fontId="7" fillId="0" borderId="0" xfId="0" applyFont="1" applyBorder="1"/>
    <xf numFmtId="44" fontId="10" fillId="10" borderId="0" xfId="0" applyNumberFormat="1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/>
    </xf>
    <xf numFmtId="0" fontId="11" fillId="4" borderId="0" xfId="0" applyFont="1" applyFill="1" applyAlignment="1">
      <alignment wrapText="1"/>
    </xf>
    <xf numFmtId="0" fontId="13" fillId="4" borderId="0" xfId="0" applyFont="1" applyFill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10A73E"/>
      <color rgb="FF5BF6A8"/>
      <color rgb="FFE8E6E9"/>
      <color rgb="FFE0E0E0"/>
      <color rgb="FF9BC848"/>
      <color rgb="FF000000"/>
      <color rgb="FF2AE6B1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[tbl_xbox_vendas_fim.xlsx]C̳álculos!Tabela dinâmica1</c:name>
    <c:fmtId val="10"/>
  </c:pivotSource>
  <c:chart>
    <c:autoTitleDeleted val="1"/>
    <c:pivotFmts>
      <c:pivotFmt>
        <c:idx val="0"/>
        <c:spPr>
          <a:solidFill>
            <a:srgbClr val="5BF6A8"/>
          </a:solidFill>
          <a:ln w="25400"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 w="25400">
              <a:noFill/>
            </a:ln>
            <a:effectLst/>
          </c:spPr>
          <c:invertIfNegative val="0"/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0-4637-B9B9-08D2A6406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9388296"/>
        <c:axId val="61673992"/>
      </c:barChart>
      <c:catAx>
        <c:axId val="1229388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73992"/>
        <c:crosses val="autoZero"/>
        <c:auto val="1"/>
        <c:lblAlgn val="ctr"/>
        <c:lblOffset val="100"/>
        <c:noMultiLvlLbl val="0"/>
      </c:catAx>
      <c:valAx>
        <c:axId val="616739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29388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390525</xdr:colOff>
      <xdr:row>22</xdr:row>
      <xdr:rowOff>104774</xdr:rowOff>
    </xdr:from>
    <xdr:to>
      <xdr:col>7</xdr:col>
      <xdr:colOff>111201</xdr:colOff>
      <xdr:row>26</xdr:row>
      <xdr:rowOff>95250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2828925" y="444817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533400</xdr:colOff>
      <xdr:row>22</xdr:row>
      <xdr:rowOff>38100</xdr:rowOff>
    </xdr:from>
    <xdr:to>
      <xdr:col>11</xdr:col>
      <xdr:colOff>95250</xdr:colOff>
      <xdr:row>28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4FD912-86C3-49E9-9F9F-5104134E34DD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00600" y="4381500"/>
          <a:ext cx="1628775" cy="1190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8</xdr:row>
      <xdr:rowOff>95250</xdr:rowOff>
    </xdr:from>
    <xdr:to>
      <xdr:col>10</xdr:col>
      <xdr:colOff>0</xdr:colOff>
      <xdr:row>26</xdr:row>
      <xdr:rowOff>95250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7380F2F-7D42-A09B-A272-0F9979EC4C6D}"/>
            </a:ext>
            <a:ext uri="{147F2762-F138-4A5C-976F-8EAC2B608ADB}">
              <a16:predDERef xmlns:a16="http://schemas.microsoft.com/office/drawing/2014/main" pred="{A2B417A3-D67A-DC4C-5E89-E16A31387CD8}"/>
            </a:ext>
          </a:extLst>
        </xdr:cNvPr>
        <xdr:cNvSpPr/>
      </xdr:nvSpPr>
      <xdr:spPr>
        <a:xfrm>
          <a:off x="1952625" y="2619375"/>
          <a:ext cx="6381750" cy="3429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2</xdr:col>
      <xdr:colOff>790575</xdr:colOff>
      <xdr:row>2</xdr:row>
      <xdr:rowOff>228600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F4477A-AF25-4AAE-90E0-D36481F4774B}"/>
            </a:ext>
            <a:ext uri="{147F2762-F138-4A5C-976F-8EAC2B608ADB}">
              <a16:predDERef xmlns:a16="http://schemas.microsoft.com/office/drawing/2014/main" pred="{B7380F2F-7D42-A09B-A272-0F9979EC4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4019" r="71617" b="18692"/>
        <a:stretch>
          <a:fillRect/>
        </a:stretch>
      </xdr:blipFill>
      <xdr:spPr>
        <a:xfrm>
          <a:off x="1914525" y="0"/>
          <a:ext cx="838200" cy="914400"/>
        </a:xfrm>
        <a:prstGeom prst="rect">
          <a:avLst/>
        </a:prstGeom>
      </xdr:spPr>
    </xdr:pic>
    <xdr:clientData/>
  </xdr:twoCellAnchor>
  <xdr:twoCellAnchor>
    <xdr:from>
      <xdr:col>2</xdr:col>
      <xdr:colOff>361950</xdr:colOff>
      <xdr:row>11</xdr:row>
      <xdr:rowOff>9525</xdr:rowOff>
    </xdr:from>
    <xdr:to>
      <xdr:col>9</xdr:col>
      <xdr:colOff>447675</xdr:colOff>
      <xdr:row>25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8DBA58-2051-4179-85A7-D53D585ECBF5}"/>
            </a:ext>
            <a:ext uri="{147F2762-F138-4A5C-976F-8EAC2B608ADB}">
              <a16:predDERef xmlns:a16="http://schemas.microsoft.com/office/drawing/2014/main" pred="{8CF4477A-AF25-4AAE-90E0-D36481F47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2</xdr:row>
      <xdr:rowOff>285750</xdr:rowOff>
    </xdr:from>
    <xdr:to>
      <xdr:col>0</xdr:col>
      <xdr:colOff>1714500</xdr:colOff>
      <xdr:row>6</xdr:row>
      <xdr:rowOff>476250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A2B417A3-D67A-DC4C-5E89-E16A31387CD8}"/>
                </a:ext>
                <a:ext uri="{147F2762-F138-4A5C-976F-8EAC2B608ADB}">
                  <a16:predDERef xmlns:a16="http://schemas.microsoft.com/office/drawing/2014/main" pred="{6C8DBA58-2051-4179-85A7-D53D585ECB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914400"/>
              <a:ext cx="1533525" cy="212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200025</xdr:colOff>
      <xdr:row>5</xdr:row>
      <xdr:rowOff>142875</xdr:rowOff>
    </xdr:from>
    <xdr:to>
      <xdr:col>3</xdr:col>
      <xdr:colOff>523875</xdr:colOff>
      <xdr:row>7</xdr:row>
      <xdr:rowOff>171450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563D623-D35A-4E59-BB78-5E6A3E58BADA}"/>
            </a:ext>
            <a:ext uri="{147F2762-F138-4A5C-976F-8EAC2B608ADB}">
              <a16:predDERef xmlns:a16="http://schemas.microsoft.com/office/drawing/2014/main" pred="{A2B417A3-D67A-DC4C-5E89-E16A31387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371600"/>
          <a:ext cx="1133475" cy="113347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6</xdr:row>
      <xdr:rowOff>76200</xdr:rowOff>
    </xdr:from>
    <xdr:to>
      <xdr:col>7</xdr:col>
      <xdr:colOff>1019175</xdr:colOff>
      <xdr:row>6</xdr:row>
      <xdr:rowOff>733425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B8B8CD6-D9C0-C811-2553-BE7F9465161B}"/>
            </a:ext>
            <a:ext uri="{147F2762-F138-4A5C-976F-8EAC2B608ADB}">
              <a16:predDERef xmlns:a16="http://schemas.microsoft.com/office/drawing/2014/main" pred="{867CCA4F-8ED0-433A-98B5-68F369C7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6375" y="1638300"/>
          <a:ext cx="895350" cy="657225"/>
        </a:xfrm>
        <a:prstGeom prst="rect">
          <a:avLst/>
        </a:prstGeom>
      </xdr:spPr>
    </xdr:pic>
    <xdr:clientData/>
  </xdr:twoCellAnchor>
  <xdr:twoCellAnchor>
    <xdr:from>
      <xdr:col>1</xdr:col>
      <xdr:colOff>209550</xdr:colOff>
      <xdr:row>8</xdr:row>
      <xdr:rowOff>95250</xdr:rowOff>
    </xdr:from>
    <xdr:to>
      <xdr:col>10</xdr:col>
      <xdr:colOff>9525</xdr:colOff>
      <xdr:row>10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B484AAF-24AC-D33A-1E38-1DACFDD267EA}"/>
            </a:ext>
            <a:ext uri="{147F2762-F138-4A5C-976F-8EAC2B608ADB}">
              <a16:predDERef xmlns:a16="http://schemas.microsoft.com/office/drawing/2014/main" pred="{6B8B8CD6-D9C0-C811-2553-BE7F9465161B}"/>
            </a:ext>
          </a:extLst>
        </xdr:cNvPr>
        <xdr:cNvSpPr/>
      </xdr:nvSpPr>
      <xdr:spPr>
        <a:xfrm>
          <a:off x="1933575" y="2752725"/>
          <a:ext cx="6410325" cy="361950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371475</xdr:colOff>
      <xdr:row>8</xdr:row>
      <xdr:rowOff>133350</xdr:rowOff>
    </xdr:from>
    <xdr:to>
      <xdr:col>8</xdr:col>
      <xdr:colOff>638175</xdr:colOff>
      <xdr:row>10</xdr:row>
      <xdr:rowOff>57150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CAC470-DF7C-9B2C-5014-F90BACE3BB9C}"/>
            </a:ext>
            <a:ext uri="{147F2762-F138-4A5C-976F-8EAC2B608ADB}">
              <a16:predDERef xmlns:a16="http://schemas.microsoft.com/office/drawing/2014/main" pred="{2B484AAF-24AC-D33A-1E38-1DACFDD267EA}"/>
            </a:ext>
          </a:extLst>
        </xdr:cNvPr>
        <xdr:cNvSpPr txBox="1"/>
      </xdr:nvSpPr>
      <xdr:spPr>
        <a:xfrm>
          <a:off x="3143250" y="2790825"/>
          <a:ext cx="3752850" cy="304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 XBOX Game Pass</a:t>
          </a:r>
        </a:p>
      </xdr:txBody>
    </xdr:sp>
    <xdr:clientData/>
  </xdr:twoCellAnchor>
  <xdr:twoCellAnchor>
    <xdr:from>
      <xdr:col>0</xdr:col>
      <xdr:colOff>1562100</xdr:colOff>
      <xdr:row>5</xdr:row>
      <xdr:rowOff>9525</xdr:rowOff>
    </xdr:from>
    <xdr:to>
      <xdr:col>7</xdr:col>
      <xdr:colOff>152400</xdr:colOff>
      <xdr:row>5</xdr:row>
      <xdr:rowOff>314325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259E1D5-73CF-4CD2-AF9F-9B877A9B7278}"/>
            </a:ext>
            <a:ext uri="{147F2762-F138-4A5C-976F-8EAC2B608ADB}">
              <a16:predDERef xmlns:a16="http://schemas.microsoft.com/office/drawing/2014/main" pred="{88CAC470-DF7C-9B2C-5014-F90BACE3BB9C}"/>
            </a:ext>
          </a:extLst>
        </xdr:cNvPr>
        <xdr:cNvSpPr txBox="1"/>
      </xdr:nvSpPr>
      <xdr:spPr>
        <a:xfrm>
          <a:off x="1562100" y="1371600"/>
          <a:ext cx="3752850" cy="3048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Subscribes EA Play Season Pass</a:t>
          </a:r>
        </a:p>
      </xdr:txBody>
    </xdr:sp>
    <xdr:clientData/>
  </xdr:twoCellAnchor>
  <xdr:twoCellAnchor>
    <xdr:from>
      <xdr:col>6</xdr:col>
      <xdr:colOff>19050</xdr:colOff>
      <xdr:row>5</xdr:row>
      <xdr:rowOff>0</xdr:rowOff>
    </xdr:from>
    <xdr:to>
      <xdr:col>10</xdr:col>
      <xdr:colOff>323850</xdr:colOff>
      <xdr:row>5</xdr:row>
      <xdr:rowOff>304800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48B821-CE50-4C6E-A539-8AA48CDD4BF5}"/>
            </a:ext>
            <a:ext uri="{147F2762-F138-4A5C-976F-8EAC2B608ADB}">
              <a16:predDERef xmlns:a16="http://schemas.microsoft.com/office/drawing/2014/main" pred="{4259E1D5-73CF-4CD2-AF9F-9B877A9B7278}"/>
            </a:ext>
          </a:extLst>
        </xdr:cNvPr>
        <xdr:cNvSpPr txBox="1"/>
      </xdr:nvSpPr>
      <xdr:spPr>
        <a:xfrm>
          <a:off x="4905375" y="1362075"/>
          <a:ext cx="3752850" cy="3048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Subscribes Minercraft Season Pass</a:t>
          </a:r>
        </a:p>
      </xdr:txBody>
    </xdr:sp>
    <xdr:clientData/>
  </xdr:twoCellAnchor>
  <xdr:twoCellAnchor>
    <xdr:from>
      <xdr:col>0</xdr:col>
      <xdr:colOff>609600</xdr:colOff>
      <xdr:row>0</xdr:row>
      <xdr:rowOff>76200</xdr:rowOff>
    </xdr:from>
    <xdr:to>
      <xdr:col>0</xdr:col>
      <xdr:colOff>1095375</xdr:colOff>
      <xdr:row>1</xdr:row>
      <xdr:rowOff>381000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4CEF793-5DD6-468B-948E-060BD33D23CA}"/>
            </a:ext>
            <a:ext uri="{147F2762-F138-4A5C-976F-8EAC2B608ADB}">
              <a16:predDERef xmlns:a16="http://schemas.microsoft.com/office/drawing/2014/main" pred="{6548B821-CE50-4C6E-A539-8AA48CDD4BF5}"/>
            </a:ext>
          </a:extLst>
        </xdr:cNvPr>
        <xdr:cNvSpPr/>
      </xdr:nvSpPr>
      <xdr:spPr>
        <a:xfrm>
          <a:off x="609600" y="76200"/>
          <a:ext cx="485775" cy="49530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142875</xdr:colOff>
      <xdr:row>1</xdr:row>
      <xdr:rowOff>419100</xdr:rowOff>
    </xdr:from>
    <xdr:to>
      <xdr:col>0</xdr:col>
      <xdr:colOff>1504950</xdr:colOff>
      <xdr:row>2</xdr:row>
      <xdr:rowOff>219075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4F3BB36-93E0-FF0F-03E2-6FBE1B611E95}"/>
            </a:ext>
            <a:ext uri="{147F2762-F138-4A5C-976F-8EAC2B608ADB}">
              <a16:predDERef xmlns:a16="http://schemas.microsoft.com/office/drawing/2014/main" pred="{74CEF793-5DD6-468B-948E-060BD33D23CA}"/>
            </a:ext>
          </a:extLst>
        </xdr:cNvPr>
        <xdr:cNvSpPr txBox="1"/>
      </xdr:nvSpPr>
      <xdr:spPr>
        <a:xfrm>
          <a:off x="142875" y="609600"/>
          <a:ext cx="1362075" cy="2952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 Vindo Felipão</a:t>
          </a:r>
        </a:p>
      </xdr:txBody>
    </xdr:sp>
    <xdr:clientData/>
  </xdr:twoCellAnchor>
  <xdr:twoCellAnchor>
    <xdr:from>
      <xdr:col>1</xdr:col>
      <xdr:colOff>180975</xdr:colOff>
      <xdr:row>3</xdr:row>
      <xdr:rowOff>47625</xdr:rowOff>
    </xdr:from>
    <xdr:to>
      <xdr:col>7</xdr:col>
      <xdr:colOff>790575</xdr:colOff>
      <xdr:row>4</xdr:row>
      <xdr:rowOff>47625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F07FFA2-8060-E7B2-B574-8B8A9C65F43C}"/>
            </a:ext>
            <a:ext uri="{147F2762-F138-4A5C-976F-8EAC2B608ADB}">
              <a16:predDERef xmlns:a16="http://schemas.microsoft.com/office/drawing/2014/main" pred="{54F3BB36-93E0-FF0F-03E2-6FBE1B611E95}"/>
            </a:ext>
          </a:extLst>
        </xdr:cNvPr>
        <xdr:cNvSpPr txBox="1"/>
      </xdr:nvSpPr>
      <xdr:spPr>
        <a:xfrm>
          <a:off x="1905000" y="1038225"/>
          <a:ext cx="4048125" cy="2381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0" i="0" u="none" strike="noStrike">
              <a:solidFill>
                <a:schemeClr val="bg2">
                  <a:lumMod val="50000"/>
                </a:schemeClr>
              </a:solidFill>
              <a:latin typeface="Aptos Narrow" panose="020B0004020202020204" pitchFamily="34" charset="0"/>
            </a:rPr>
            <a:t>Periodo de aputação 01/01/2024 até 31//12/2024 | Update 16/12/2025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6.821030671294" createdVersion="8" refreshedVersion="8" minRefreshableVersion="3" recordCount="295" xr:uid="{F7FA2CBE-7620-4124-9EF1-0215F795376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1909955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x v="0"/>
  </r>
  <r>
    <n v="3232"/>
    <s v="Maria Oliveira"/>
    <x v="1"/>
    <d v="2024-01-15T00:00:00"/>
    <x v="1"/>
    <n v="5"/>
    <x v="1"/>
    <s v="No"/>
    <x v="1"/>
    <s v="No"/>
    <n v="0"/>
    <n v="0"/>
    <x v="1"/>
  </r>
  <r>
    <n v="3233"/>
    <s v="Lucas Fernandes"/>
    <x v="2"/>
    <d v="2024-02-10T00:00:00"/>
    <x v="0"/>
    <n v="10"/>
    <x v="2"/>
    <s v="No"/>
    <x v="1"/>
    <s v="Yes"/>
    <n v="20"/>
    <n v="10"/>
    <x v="2"/>
  </r>
  <r>
    <n v="3234"/>
    <s v="Ana Souza"/>
    <x v="0"/>
    <d v="2024-02-20T00:00:00"/>
    <x v="1"/>
    <n v="15"/>
    <x v="0"/>
    <s v="Yes"/>
    <x v="0"/>
    <s v="Yes"/>
    <n v="20"/>
    <n v="3"/>
    <x v="3"/>
  </r>
  <r>
    <n v="3235"/>
    <s v="Pedro Gonçalves"/>
    <x v="1"/>
    <d v="2024-03-05T00:00:00"/>
    <x v="0"/>
    <n v="5"/>
    <x v="0"/>
    <s v="No"/>
    <x v="1"/>
    <s v="No"/>
    <n v="0"/>
    <n v="1"/>
    <x v="4"/>
  </r>
  <r>
    <n v="3236"/>
    <s v="Felipe Costa"/>
    <x v="2"/>
    <d v="2024-03-02T00:00:00"/>
    <x v="1"/>
    <n v="10"/>
    <x v="0"/>
    <s v="No"/>
    <x v="1"/>
    <s v="Yes"/>
    <n v="20"/>
    <n v="2"/>
    <x v="5"/>
  </r>
  <r>
    <n v="3237"/>
    <s v="Camila Ribeiro"/>
    <x v="0"/>
    <d v="2024-03-03T00:00:00"/>
    <x v="0"/>
    <n v="15"/>
    <x v="2"/>
    <s v="Yes"/>
    <x v="0"/>
    <s v="Yes"/>
    <n v="20"/>
    <n v="10"/>
    <x v="6"/>
  </r>
  <r>
    <n v="3238"/>
    <s v="André Mendes"/>
    <x v="1"/>
    <d v="2024-03-04T00:00:00"/>
    <x v="0"/>
    <n v="5"/>
    <x v="1"/>
    <s v="No"/>
    <x v="1"/>
    <s v="No"/>
    <n v="0"/>
    <n v="0"/>
    <x v="1"/>
  </r>
  <r>
    <n v="3239"/>
    <s v="Sofia Almeida"/>
    <x v="0"/>
    <d v="2024-03-05T00:00:00"/>
    <x v="1"/>
    <n v="15"/>
    <x v="0"/>
    <s v="Yes"/>
    <x v="0"/>
    <s v="Yes"/>
    <n v="20"/>
    <n v="5"/>
    <x v="0"/>
  </r>
  <r>
    <n v="3240"/>
    <s v="Bruno Martins"/>
    <x v="2"/>
    <d v="2024-03-06T00:00:00"/>
    <x v="0"/>
    <n v="10"/>
    <x v="2"/>
    <s v="No"/>
    <x v="1"/>
    <s v="Yes"/>
    <n v="20"/>
    <n v="15"/>
    <x v="7"/>
  </r>
  <r>
    <n v="3241"/>
    <s v="Rita Castro"/>
    <x v="1"/>
    <d v="2024-03-07T00:00:00"/>
    <x v="1"/>
    <n v="5"/>
    <x v="0"/>
    <s v="No"/>
    <x v="1"/>
    <s v="No"/>
    <n v="0"/>
    <n v="1"/>
    <x v="4"/>
  </r>
  <r>
    <n v="3242"/>
    <s v="Marco Túlio"/>
    <x v="0"/>
    <d v="2024-03-08T00:00:00"/>
    <x v="0"/>
    <n v="15"/>
    <x v="1"/>
    <s v="Yes"/>
    <x v="0"/>
    <s v="Yes"/>
    <n v="20"/>
    <n v="20"/>
    <x v="8"/>
  </r>
  <r>
    <n v="3243"/>
    <s v="Lívia Silveira"/>
    <x v="2"/>
    <d v="2024-03-09T00:00:00"/>
    <x v="1"/>
    <n v="10"/>
    <x v="0"/>
    <s v="No"/>
    <x v="1"/>
    <s v="Yes"/>
    <n v="20"/>
    <n v="10"/>
    <x v="2"/>
  </r>
  <r>
    <n v="3244"/>
    <s v="Diogo Sousa"/>
    <x v="1"/>
    <d v="2024-03-10T00:00:00"/>
    <x v="0"/>
    <n v="5"/>
    <x v="2"/>
    <s v="No"/>
    <x v="1"/>
    <s v="No"/>
    <n v="0"/>
    <n v="0"/>
    <x v="1"/>
  </r>
  <r>
    <n v="3245"/>
    <s v="Fernanda Lima"/>
    <x v="0"/>
    <d v="2024-03-11T00:00:00"/>
    <x v="1"/>
    <n v="15"/>
    <x v="0"/>
    <s v="Yes"/>
    <x v="0"/>
    <s v="Yes"/>
    <n v="20"/>
    <n v="8"/>
    <x v="9"/>
  </r>
  <r>
    <n v="3246"/>
    <s v="Caio Pereira"/>
    <x v="2"/>
    <d v="2024-03-12T00:00:00"/>
    <x v="0"/>
    <n v="10"/>
    <x v="1"/>
    <s v="No"/>
    <x v="1"/>
    <s v="Yes"/>
    <n v="20"/>
    <n v="12"/>
    <x v="10"/>
  </r>
  <r>
    <n v="3247"/>
    <s v="Beatriz Gomes"/>
    <x v="1"/>
    <d v="2024-03-13T00:00:00"/>
    <x v="1"/>
    <n v="5"/>
    <x v="0"/>
    <s v="No"/>
    <x v="1"/>
    <s v="No"/>
    <n v="0"/>
    <n v="2"/>
    <x v="11"/>
  </r>
  <r>
    <n v="3248"/>
    <s v="Cesar Oliveira"/>
    <x v="0"/>
    <d v="2024-03-14T00:00:00"/>
    <x v="0"/>
    <n v="15"/>
    <x v="2"/>
    <s v="Yes"/>
    <x v="0"/>
    <s v="Yes"/>
    <n v="20"/>
    <n v="7"/>
    <x v="12"/>
  </r>
  <r>
    <n v="3249"/>
    <s v="Débora Machado"/>
    <x v="2"/>
    <d v="2024-03-15T00:00:00"/>
    <x v="1"/>
    <n v="10"/>
    <x v="0"/>
    <s v="No"/>
    <x v="1"/>
    <s v="Yes"/>
    <n v="20"/>
    <n v="5"/>
    <x v="13"/>
  </r>
  <r>
    <n v="3250"/>
    <s v="Eduardo Vargas"/>
    <x v="1"/>
    <d v="2024-03-16T00:00:00"/>
    <x v="0"/>
    <n v="5"/>
    <x v="1"/>
    <s v="No"/>
    <x v="1"/>
    <s v="No"/>
    <n v="0"/>
    <n v="0"/>
    <x v="1"/>
  </r>
  <r>
    <n v="3251"/>
    <s v="Gabriela Santos"/>
    <x v="0"/>
    <d v="2024-03-17T00:00:00"/>
    <x v="1"/>
    <n v="15"/>
    <x v="0"/>
    <s v="Yes"/>
    <x v="0"/>
    <s v="Yes"/>
    <n v="20"/>
    <n v="3"/>
    <x v="3"/>
  </r>
  <r>
    <n v="3252"/>
    <s v="Henrique Dias"/>
    <x v="2"/>
    <d v="2024-03-18T00:00:00"/>
    <x v="0"/>
    <n v="10"/>
    <x v="2"/>
    <s v="No"/>
    <x v="1"/>
    <s v="Yes"/>
    <n v="20"/>
    <n v="15"/>
    <x v="7"/>
  </r>
  <r>
    <n v="3253"/>
    <s v="Isabela Moreira"/>
    <x v="1"/>
    <d v="2024-03-19T00:00:00"/>
    <x v="1"/>
    <n v="5"/>
    <x v="0"/>
    <s v="No"/>
    <x v="1"/>
    <s v="No"/>
    <n v="0"/>
    <n v="1"/>
    <x v="4"/>
  </r>
  <r>
    <n v="3254"/>
    <s v="Joaquim Barbosa"/>
    <x v="0"/>
    <d v="2024-03-20T00:00:00"/>
    <x v="0"/>
    <n v="15"/>
    <x v="1"/>
    <s v="Yes"/>
    <x v="0"/>
    <s v="Yes"/>
    <n v="20"/>
    <n v="20"/>
    <x v="8"/>
  </r>
  <r>
    <n v="3255"/>
    <s v="Lara Rocha"/>
    <x v="2"/>
    <d v="2024-03-21T00:00:00"/>
    <x v="1"/>
    <n v="10"/>
    <x v="0"/>
    <s v="No"/>
    <x v="1"/>
    <s v="Yes"/>
    <n v="20"/>
    <n v="10"/>
    <x v="2"/>
  </r>
  <r>
    <n v="3256"/>
    <s v="Matheus Silva"/>
    <x v="1"/>
    <d v="2024-03-22T00:00:00"/>
    <x v="0"/>
    <n v="5"/>
    <x v="2"/>
    <s v="No"/>
    <x v="1"/>
    <s v="No"/>
    <n v="0"/>
    <n v="0"/>
    <x v="1"/>
  </r>
  <r>
    <n v="3257"/>
    <s v="Nicole Costa"/>
    <x v="0"/>
    <d v="2024-03-23T00:00:00"/>
    <x v="1"/>
    <n v="15"/>
    <x v="0"/>
    <s v="Yes"/>
    <x v="0"/>
    <s v="Yes"/>
    <n v="20"/>
    <n v="5"/>
    <x v="0"/>
  </r>
  <r>
    <n v="3258"/>
    <s v="Otávio Mendonça"/>
    <x v="2"/>
    <d v="2024-03-24T00:00:00"/>
    <x v="0"/>
    <n v="10"/>
    <x v="1"/>
    <s v="No"/>
    <x v="1"/>
    <s v="Yes"/>
    <n v="20"/>
    <n v="15"/>
    <x v="7"/>
  </r>
  <r>
    <n v="3259"/>
    <s v="Paula Ferreira"/>
    <x v="1"/>
    <d v="2024-03-25T00:00:00"/>
    <x v="1"/>
    <n v="5"/>
    <x v="0"/>
    <s v="No"/>
    <x v="1"/>
    <s v="No"/>
    <n v="0"/>
    <n v="1"/>
    <x v="4"/>
  </r>
  <r>
    <n v="3260"/>
    <s v="Raquel Alves"/>
    <x v="0"/>
    <d v="2024-03-26T00:00:00"/>
    <x v="0"/>
    <n v="15"/>
    <x v="2"/>
    <s v="Yes"/>
    <x v="0"/>
    <s v="Yes"/>
    <n v="20"/>
    <n v="7"/>
    <x v="12"/>
  </r>
  <r>
    <n v="3261"/>
    <s v="Samuel Pires"/>
    <x v="2"/>
    <d v="2024-03-27T00:00:00"/>
    <x v="1"/>
    <n v="10"/>
    <x v="0"/>
    <s v="No"/>
    <x v="1"/>
    <s v="Yes"/>
    <n v="20"/>
    <n v="10"/>
    <x v="2"/>
  </r>
  <r>
    <n v="3262"/>
    <s v="Tânia Barros"/>
    <x v="1"/>
    <d v="2024-03-28T00:00:00"/>
    <x v="0"/>
    <n v="5"/>
    <x v="1"/>
    <s v="No"/>
    <x v="1"/>
    <s v="No"/>
    <n v="0"/>
    <n v="0"/>
    <x v="1"/>
  </r>
  <r>
    <n v="3263"/>
    <s v="Vinicius Lima"/>
    <x v="0"/>
    <d v="2024-03-29T00:00:00"/>
    <x v="1"/>
    <n v="15"/>
    <x v="0"/>
    <s v="Yes"/>
    <x v="0"/>
    <s v="Yes"/>
    <n v="20"/>
    <n v="3"/>
    <x v="3"/>
  </r>
  <r>
    <n v="3264"/>
    <s v="Yasmin Teixeira"/>
    <x v="2"/>
    <d v="2024-03-30T00:00:00"/>
    <x v="0"/>
    <n v="10"/>
    <x v="2"/>
    <s v="No"/>
    <x v="1"/>
    <s v="Yes"/>
    <n v="20"/>
    <n v="15"/>
    <x v="7"/>
  </r>
  <r>
    <n v="3265"/>
    <s v="Zé Carlos"/>
    <x v="1"/>
    <d v="2024-03-31T00:00:00"/>
    <x v="1"/>
    <n v="5"/>
    <x v="0"/>
    <s v="No"/>
    <x v="1"/>
    <s v="No"/>
    <n v="0"/>
    <n v="1"/>
    <x v="4"/>
  </r>
  <r>
    <n v="3266"/>
    <s v="Amanda Nogueira"/>
    <x v="1"/>
    <d v="2024-04-01T00:00:00"/>
    <x v="0"/>
    <n v="5"/>
    <x v="0"/>
    <s v="No"/>
    <x v="1"/>
    <s v="No"/>
    <n v="0"/>
    <n v="0"/>
    <x v="1"/>
  </r>
  <r>
    <n v="3267"/>
    <s v="Bruno Cavalheiro"/>
    <x v="0"/>
    <d v="2024-04-02T00:00:00"/>
    <x v="1"/>
    <n v="15"/>
    <x v="2"/>
    <s v="Yes"/>
    <x v="0"/>
    <s v="Yes"/>
    <n v="20"/>
    <n v="7"/>
    <x v="12"/>
  </r>
  <r>
    <n v="3268"/>
    <s v="Carla Dias"/>
    <x v="2"/>
    <d v="2024-04-03T00:00:00"/>
    <x v="0"/>
    <n v="10"/>
    <x v="1"/>
    <s v="No"/>
    <x v="1"/>
    <s v="Yes"/>
    <n v="20"/>
    <n v="10"/>
    <x v="2"/>
  </r>
  <r>
    <n v="3269"/>
    <s v="Diego Fontes"/>
    <x v="1"/>
    <d v="2024-04-04T00:00:00"/>
    <x v="1"/>
    <n v="5"/>
    <x v="2"/>
    <s v="No"/>
    <x v="1"/>
    <s v="No"/>
    <n v="0"/>
    <n v="1"/>
    <x v="4"/>
  </r>
  <r>
    <n v="3270"/>
    <s v="Eunice Lima"/>
    <x v="0"/>
    <d v="2024-04-05T00:00:00"/>
    <x v="0"/>
    <n v="15"/>
    <x v="0"/>
    <s v="Yes"/>
    <x v="0"/>
    <s v="Yes"/>
    <n v="20"/>
    <n v="15"/>
    <x v="14"/>
  </r>
  <r>
    <n v="3271"/>
    <s v="Fábio Martins"/>
    <x v="2"/>
    <d v="2024-04-06T00:00:00"/>
    <x v="1"/>
    <n v="10"/>
    <x v="0"/>
    <s v="No"/>
    <x v="1"/>
    <s v="Yes"/>
    <n v="20"/>
    <n v="5"/>
    <x v="13"/>
  </r>
  <r>
    <n v="3272"/>
    <s v="Gisele Araújo"/>
    <x v="1"/>
    <d v="2024-04-07T00:00:00"/>
    <x v="0"/>
    <n v="5"/>
    <x v="1"/>
    <s v="No"/>
    <x v="1"/>
    <s v="No"/>
    <n v="0"/>
    <n v="0"/>
    <x v="1"/>
  </r>
  <r>
    <n v="3273"/>
    <s v="Hélio Castro"/>
    <x v="0"/>
    <d v="2024-04-08T00:00:00"/>
    <x v="1"/>
    <n v="15"/>
    <x v="2"/>
    <s v="Yes"/>
    <x v="0"/>
    <s v="Yes"/>
    <n v="20"/>
    <n v="20"/>
    <x v="8"/>
  </r>
  <r>
    <n v="3274"/>
    <s v="Ingrid Menezes"/>
    <x v="2"/>
    <d v="2024-04-09T00:00:00"/>
    <x v="0"/>
    <n v="10"/>
    <x v="2"/>
    <s v="No"/>
    <x v="1"/>
    <s v="Yes"/>
    <n v="20"/>
    <n v="12"/>
    <x v="10"/>
  </r>
  <r>
    <n v="3275"/>
    <s v="Jorge Baptista"/>
    <x v="1"/>
    <d v="2024-04-10T00:00:00"/>
    <x v="1"/>
    <n v="5"/>
    <x v="0"/>
    <s v="No"/>
    <x v="1"/>
    <s v="No"/>
    <n v="0"/>
    <n v="2"/>
    <x v="11"/>
  </r>
  <r>
    <n v="3276"/>
    <s v="Kléber Oliveira"/>
    <x v="0"/>
    <d v="2024-04-11T00:00:00"/>
    <x v="0"/>
    <n v="15"/>
    <x v="1"/>
    <s v="Yes"/>
    <x v="0"/>
    <s v="Yes"/>
    <n v="20"/>
    <n v="5"/>
    <x v="0"/>
  </r>
  <r>
    <n v="3277"/>
    <s v="Luciana Freitas"/>
    <x v="2"/>
    <d v="2024-04-12T00:00:00"/>
    <x v="1"/>
    <n v="10"/>
    <x v="0"/>
    <s v="No"/>
    <x v="1"/>
    <s v="Yes"/>
    <n v="20"/>
    <n v="10"/>
    <x v="2"/>
  </r>
  <r>
    <n v="3278"/>
    <s v="Márcia Eller"/>
    <x v="1"/>
    <d v="2024-04-13T00:00:00"/>
    <x v="0"/>
    <n v="5"/>
    <x v="2"/>
    <s v="No"/>
    <x v="1"/>
    <s v="No"/>
    <n v="0"/>
    <n v="0"/>
    <x v="1"/>
  </r>
  <r>
    <n v="3279"/>
    <s v="Nilo Peçanha"/>
    <x v="0"/>
    <d v="2024-04-14T00:00:00"/>
    <x v="1"/>
    <n v="15"/>
    <x v="0"/>
    <s v="Yes"/>
    <x v="0"/>
    <s v="Yes"/>
    <n v="20"/>
    <n v="3"/>
    <x v="3"/>
  </r>
  <r>
    <n v="3280"/>
    <s v="Oscar Neves"/>
    <x v="2"/>
    <d v="2024-04-15T00:00:00"/>
    <x v="0"/>
    <n v="10"/>
    <x v="1"/>
    <s v="No"/>
    <x v="1"/>
    <s v="Yes"/>
    <n v="20"/>
    <n v="15"/>
    <x v="7"/>
  </r>
  <r>
    <n v="3281"/>
    <s v="Patrícia Soares"/>
    <x v="1"/>
    <d v="2024-04-16T00:00:00"/>
    <x v="1"/>
    <n v="5"/>
    <x v="0"/>
    <s v="No"/>
    <x v="1"/>
    <s v="No"/>
    <n v="0"/>
    <n v="1"/>
    <x v="4"/>
  </r>
  <r>
    <n v="3282"/>
    <s v="Quirino Gonçalves"/>
    <x v="0"/>
    <d v="2024-04-17T00:00:00"/>
    <x v="0"/>
    <n v="15"/>
    <x v="2"/>
    <s v="Yes"/>
    <x v="0"/>
    <s v="Yes"/>
    <n v="20"/>
    <n v="7"/>
    <x v="12"/>
  </r>
  <r>
    <n v="3283"/>
    <s v="Raul Machado"/>
    <x v="2"/>
    <d v="2024-04-18T00:00:00"/>
    <x v="1"/>
    <n v="10"/>
    <x v="0"/>
    <s v="No"/>
    <x v="1"/>
    <s v="Yes"/>
    <n v="20"/>
    <n v="10"/>
    <x v="2"/>
  </r>
  <r>
    <n v="3284"/>
    <s v="Sônia Lobo"/>
    <x v="1"/>
    <d v="2024-04-19T00:00:00"/>
    <x v="0"/>
    <n v="5"/>
    <x v="1"/>
    <s v="No"/>
    <x v="1"/>
    <s v="No"/>
    <n v="0"/>
    <n v="0"/>
    <x v="1"/>
  </r>
  <r>
    <n v="3285"/>
    <s v="Tiago Ramos"/>
    <x v="0"/>
    <d v="2024-04-20T00:00:00"/>
    <x v="1"/>
    <n v="15"/>
    <x v="0"/>
    <s v="Yes"/>
    <x v="0"/>
    <s v="Yes"/>
    <n v="20"/>
    <n v="20"/>
    <x v="8"/>
  </r>
  <r>
    <n v="3286"/>
    <s v="Ugo Pires"/>
    <x v="2"/>
    <d v="2024-04-21T00:00:00"/>
    <x v="0"/>
    <n v="10"/>
    <x v="2"/>
    <s v="No"/>
    <x v="1"/>
    <s v="Yes"/>
    <n v="20"/>
    <n v="15"/>
    <x v="7"/>
  </r>
  <r>
    <n v="3287"/>
    <s v="Valéria Nobre"/>
    <x v="1"/>
    <d v="2024-04-22T00:00:00"/>
    <x v="1"/>
    <n v="5"/>
    <x v="0"/>
    <s v="No"/>
    <x v="1"/>
    <s v="No"/>
    <n v="0"/>
    <n v="1"/>
    <x v="4"/>
  </r>
  <r>
    <n v="3288"/>
    <s v="William Siqueira"/>
    <x v="0"/>
    <d v="2024-04-23T00:00:00"/>
    <x v="0"/>
    <n v="15"/>
    <x v="1"/>
    <s v="Yes"/>
    <x v="0"/>
    <s v="Yes"/>
    <n v="20"/>
    <n v="3"/>
    <x v="3"/>
  </r>
  <r>
    <n v="3289"/>
    <s v="Xuxa Meneghel"/>
    <x v="2"/>
    <d v="2024-04-24T00:00:00"/>
    <x v="1"/>
    <n v="10"/>
    <x v="0"/>
    <s v="No"/>
    <x v="1"/>
    <s v="Yes"/>
    <n v="20"/>
    <n v="10"/>
    <x v="2"/>
  </r>
  <r>
    <n v="3290"/>
    <s v="Yara Figueiredo"/>
    <x v="1"/>
    <d v="2024-04-25T00:00:00"/>
    <x v="0"/>
    <n v="5"/>
    <x v="2"/>
    <s v="No"/>
    <x v="1"/>
    <s v="No"/>
    <n v="0"/>
    <n v="0"/>
    <x v="1"/>
  </r>
  <r>
    <n v="3291"/>
    <s v="Zacarias Alves"/>
    <x v="0"/>
    <d v="2024-04-26T00:00:00"/>
    <x v="1"/>
    <n v="15"/>
    <x v="0"/>
    <s v="Yes"/>
    <x v="0"/>
    <s v="Yes"/>
    <n v="20"/>
    <n v="5"/>
    <x v="0"/>
  </r>
  <r>
    <n v="3292"/>
    <s v="Amanda Bynes"/>
    <x v="2"/>
    <d v="2024-04-27T00:00:00"/>
    <x v="0"/>
    <n v="10"/>
    <x v="1"/>
    <s v="No"/>
    <x v="1"/>
    <s v="Yes"/>
    <n v="20"/>
    <n v="15"/>
    <x v="7"/>
  </r>
  <r>
    <n v="3293"/>
    <s v="Bruno Mars"/>
    <x v="1"/>
    <d v="2024-04-28T00:00:00"/>
    <x v="1"/>
    <n v="5"/>
    <x v="0"/>
    <s v="No"/>
    <x v="1"/>
    <s v="No"/>
    <n v="0"/>
    <n v="1"/>
    <x v="4"/>
  </r>
  <r>
    <n v="3294"/>
    <s v="Carla Bruni"/>
    <x v="0"/>
    <d v="2024-04-29T00:00:00"/>
    <x v="0"/>
    <n v="15"/>
    <x v="2"/>
    <s v="Yes"/>
    <x v="0"/>
    <s v="Yes"/>
    <n v="20"/>
    <n v="20"/>
    <x v="8"/>
  </r>
  <r>
    <n v="3295"/>
    <s v="Diego Maradona"/>
    <x v="2"/>
    <d v="2024-04-30T00:00:00"/>
    <x v="1"/>
    <n v="10"/>
    <x v="0"/>
    <s v="No"/>
    <x v="1"/>
    <s v="Yes"/>
    <n v="20"/>
    <n v="5"/>
    <x v="13"/>
  </r>
  <r>
    <n v="3296"/>
    <s v="Estela Marques"/>
    <x v="1"/>
    <d v="2024-05-01T00:00:00"/>
    <x v="1"/>
    <n v="5"/>
    <x v="0"/>
    <s v="No"/>
    <x v="1"/>
    <s v="No"/>
    <n v="0"/>
    <n v="0"/>
    <x v="1"/>
  </r>
  <r>
    <n v="3297"/>
    <s v="Fábio Nobre"/>
    <x v="0"/>
    <d v="2024-05-02T00:00:00"/>
    <x v="0"/>
    <n v="15"/>
    <x v="2"/>
    <s v="Yes"/>
    <x v="0"/>
    <s v="Yes"/>
    <n v="20"/>
    <n v="7"/>
    <x v="12"/>
  </r>
  <r>
    <n v="3298"/>
    <s v="Gabriel Oliveira"/>
    <x v="2"/>
    <d v="2024-05-03T00:00:00"/>
    <x v="1"/>
    <n v="10"/>
    <x v="1"/>
    <s v="No"/>
    <x v="1"/>
    <s v="Yes"/>
    <n v="20"/>
    <n v="10"/>
    <x v="2"/>
  </r>
  <r>
    <n v="3299"/>
    <s v="Helena Santos"/>
    <x v="1"/>
    <d v="2024-05-04T00:00:00"/>
    <x v="0"/>
    <n v="5"/>
    <x v="2"/>
    <s v="No"/>
    <x v="1"/>
    <s v="No"/>
    <n v="0"/>
    <n v="1"/>
    <x v="4"/>
  </r>
  <r>
    <n v="3300"/>
    <s v="Ivan Carvalho"/>
    <x v="0"/>
    <d v="2024-05-05T00:00:00"/>
    <x v="1"/>
    <n v="15"/>
    <x v="0"/>
    <s v="Yes"/>
    <x v="0"/>
    <s v="Yes"/>
    <n v="20"/>
    <n v="15"/>
    <x v="14"/>
  </r>
  <r>
    <n v="3301"/>
    <s v="Júlia Ferreira"/>
    <x v="2"/>
    <d v="2024-05-06T00:00:00"/>
    <x v="0"/>
    <n v="10"/>
    <x v="0"/>
    <s v="No"/>
    <x v="1"/>
    <s v="Yes"/>
    <n v="20"/>
    <n v="5"/>
    <x v="13"/>
  </r>
  <r>
    <n v="3302"/>
    <s v="Karla Alves"/>
    <x v="1"/>
    <d v="2024-05-07T00:00:00"/>
    <x v="1"/>
    <n v="5"/>
    <x v="1"/>
    <s v="No"/>
    <x v="1"/>
    <s v="No"/>
    <n v="0"/>
    <n v="0"/>
    <x v="1"/>
  </r>
  <r>
    <n v="3303"/>
    <s v="Lucas Mendes"/>
    <x v="0"/>
    <d v="2024-05-08T00:00:00"/>
    <x v="0"/>
    <n v="15"/>
    <x v="2"/>
    <s v="Yes"/>
    <x v="0"/>
    <s v="Yes"/>
    <n v="20"/>
    <n v="20"/>
    <x v="8"/>
  </r>
  <r>
    <n v="3304"/>
    <s v="Mônica Gomes"/>
    <x v="2"/>
    <d v="2024-05-09T00:00:00"/>
    <x v="1"/>
    <n v="10"/>
    <x v="2"/>
    <s v="No"/>
    <x v="1"/>
    <s v="Yes"/>
    <n v="20"/>
    <n v="12"/>
    <x v="10"/>
  </r>
  <r>
    <n v="3305"/>
    <s v="Norberto Queiroz"/>
    <x v="1"/>
    <d v="2024-05-10T00:00:00"/>
    <x v="0"/>
    <n v="5"/>
    <x v="0"/>
    <s v="No"/>
    <x v="1"/>
    <s v="No"/>
    <n v="0"/>
    <n v="2"/>
    <x v="11"/>
  </r>
  <r>
    <n v="3306"/>
    <s v="Otávio Barros"/>
    <x v="0"/>
    <d v="2024-05-11T00:00:00"/>
    <x v="1"/>
    <n v="15"/>
    <x v="1"/>
    <s v="Yes"/>
    <x v="0"/>
    <s v="Yes"/>
    <n v="20"/>
    <n v="5"/>
    <x v="0"/>
  </r>
  <r>
    <n v="3307"/>
    <s v="Paula Vieira"/>
    <x v="2"/>
    <d v="2024-05-12T00:00:00"/>
    <x v="0"/>
    <n v="10"/>
    <x v="0"/>
    <s v="No"/>
    <x v="1"/>
    <s v="Yes"/>
    <n v="20"/>
    <n v="10"/>
    <x v="2"/>
  </r>
  <r>
    <n v="3308"/>
    <s v="Quentin Ramos"/>
    <x v="1"/>
    <d v="2024-05-13T00:00:00"/>
    <x v="1"/>
    <n v="5"/>
    <x v="2"/>
    <s v="No"/>
    <x v="1"/>
    <s v="No"/>
    <n v="0"/>
    <n v="0"/>
    <x v="1"/>
  </r>
  <r>
    <n v="3309"/>
    <s v="Raquel Novaes"/>
    <x v="0"/>
    <d v="2024-05-14T00:00:00"/>
    <x v="0"/>
    <n v="15"/>
    <x v="0"/>
    <s v="Yes"/>
    <x v="0"/>
    <s v="Yes"/>
    <n v="20"/>
    <n v="3"/>
    <x v="3"/>
  </r>
  <r>
    <n v="3310"/>
    <s v="Samantha Lopes"/>
    <x v="2"/>
    <d v="2024-05-15T00:00:00"/>
    <x v="1"/>
    <n v="10"/>
    <x v="1"/>
    <s v="No"/>
    <x v="1"/>
    <s v="Yes"/>
    <n v="20"/>
    <n v="15"/>
    <x v="7"/>
  </r>
  <r>
    <n v="3311"/>
    <s v="Tiago Martins"/>
    <x v="1"/>
    <d v="2024-05-16T00:00:00"/>
    <x v="0"/>
    <n v="5"/>
    <x v="0"/>
    <s v="No"/>
    <x v="1"/>
    <s v="No"/>
    <n v="0"/>
    <n v="1"/>
    <x v="4"/>
  </r>
  <r>
    <n v="3312"/>
    <s v="Ulysses Guimarães"/>
    <x v="0"/>
    <d v="2024-05-17T00:00:00"/>
    <x v="1"/>
    <n v="15"/>
    <x v="2"/>
    <s v="Yes"/>
    <x v="0"/>
    <s v="Yes"/>
    <n v="20"/>
    <n v="7"/>
    <x v="12"/>
  </r>
  <r>
    <n v="3313"/>
    <s v="Vanessa Silva"/>
    <x v="2"/>
    <d v="2024-05-18T00:00:00"/>
    <x v="0"/>
    <n v="10"/>
    <x v="0"/>
    <s v="No"/>
    <x v="1"/>
    <s v="Yes"/>
    <n v="20"/>
    <n v="10"/>
    <x v="2"/>
  </r>
  <r>
    <n v="3314"/>
    <s v="William Carneiro"/>
    <x v="1"/>
    <d v="2024-05-19T00:00:00"/>
    <x v="1"/>
    <n v="5"/>
    <x v="1"/>
    <s v="No"/>
    <x v="1"/>
    <s v="No"/>
    <n v="0"/>
    <n v="0"/>
    <x v="1"/>
  </r>
  <r>
    <n v="3315"/>
    <s v="Ximena Rocha"/>
    <x v="0"/>
    <d v="2024-05-20T00:00:00"/>
    <x v="0"/>
    <n v="15"/>
    <x v="0"/>
    <s v="Yes"/>
    <x v="0"/>
    <s v="Yes"/>
    <n v="20"/>
    <n v="20"/>
    <x v="8"/>
  </r>
  <r>
    <n v="3316"/>
    <s v="Yasmin Figueiredo"/>
    <x v="2"/>
    <d v="2024-05-21T00:00:00"/>
    <x v="1"/>
    <n v="10"/>
    <x v="2"/>
    <s v="No"/>
    <x v="1"/>
    <s v="Yes"/>
    <n v="20"/>
    <n v="15"/>
    <x v="7"/>
  </r>
  <r>
    <n v="3317"/>
    <s v="Zara Cunha"/>
    <x v="1"/>
    <d v="2024-05-22T00:00:00"/>
    <x v="0"/>
    <n v="5"/>
    <x v="0"/>
    <s v="No"/>
    <x v="1"/>
    <s v="No"/>
    <n v="0"/>
    <n v="1"/>
    <x v="4"/>
  </r>
  <r>
    <n v="3318"/>
    <s v="Alan Teixeira"/>
    <x v="0"/>
    <d v="2024-05-23T00:00:00"/>
    <x v="1"/>
    <n v="15"/>
    <x v="1"/>
    <s v="Yes"/>
    <x v="0"/>
    <s v="Yes"/>
    <n v="20"/>
    <n v="3"/>
    <x v="3"/>
  </r>
  <r>
    <n v="3319"/>
    <s v="Bárbara Oliveira"/>
    <x v="2"/>
    <d v="2024-05-24T00:00:00"/>
    <x v="0"/>
    <n v="10"/>
    <x v="0"/>
    <s v="No"/>
    <x v="1"/>
    <s v="Yes"/>
    <n v="20"/>
    <n v="10"/>
    <x v="2"/>
  </r>
  <r>
    <n v="3320"/>
    <s v="Carlos Junqueira"/>
    <x v="1"/>
    <d v="2024-05-25T00:00:00"/>
    <x v="1"/>
    <n v="5"/>
    <x v="2"/>
    <s v="No"/>
    <x v="1"/>
    <s v="No"/>
    <n v="0"/>
    <n v="0"/>
    <x v="1"/>
  </r>
  <r>
    <n v="3321"/>
    <s v="Daniela Moura"/>
    <x v="0"/>
    <d v="2024-05-26T00:00:00"/>
    <x v="0"/>
    <n v="15"/>
    <x v="0"/>
    <s v="Yes"/>
    <x v="0"/>
    <s v="Yes"/>
    <n v="20"/>
    <n v="5"/>
    <x v="0"/>
  </r>
  <r>
    <n v="3322"/>
    <s v="Eduardo Lima"/>
    <x v="2"/>
    <d v="2024-05-27T00:00:00"/>
    <x v="1"/>
    <n v="10"/>
    <x v="1"/>
    <s v="No"/>
    <x v="1"/>
    <s v="Yes"/>
    <n v="20"/>
    <n v="15"/>
    <x v="7"/>
  </r>
  <r>
    <n v="3323"/>
    <s v="Fabiana Araújo"/>
    <x v="1"/>
    <d v="2024-05-28T00:00:00"/>
    <x v="0"/>
    <n v="5"/>
    <x v="0"/>
    <s v="No"/>
    <x v="1"/>
    <s v="No"/>
    <n v="0"/>
    <n v="1"/>
    <x v="4"/>
  </r>
  <r>
    <n v="3324"/>
    <s v="Geraldo Ribeiro"/>
    <x v="0"/>
    <d v="2024-05-29T00:00:00"/>
    <x v="1"/>
    <n v="15"/>
    <x v="2"/>
    <s v="Yes"/>
    <x v="0"/>
    <s v="Yes"/>
    <n v="20"/>
    <n v="20"/>
    <x v="8"/>
  </r>
  <r>
    <n v="3325"/>
    <s v="Héctor Vargas"/>
    <x v="2"/>
    <d v="2024-05-30T00:00:00"/>
    <x v="0"/>
    <n v="10"/>
    <x v="2"/>
    <s v="No"/>
    <x v="1"/>
    <s v="Yes"/>
    <n v="20"/>
    <n v="15"/>
    <x v="7"/>
  </r>
  <r>
    <n v="3326"/>
    <s v="Isabela Fonseca"/>
    <x v="1"/>
    <d v="2024-05-31T00:00:00"/>
    <x v="1"/>
    <n v="5"/>
    <x v="1"/>
    <s v="No"/>
    <x v="1"/>
    <s v="No"/>
    <n v="0"/>
    <n v="0"/>
    <x v="1"/>
  </r>
  <r>
    <n v="3327"/>
    <s v="João Pedro Almeida"/>
    <x v="0"/>
    <d v="2024-06-01T00:00:00"/>
    <x v="0"/>
    <n v="15"/>
    <x v="0"/>
    <s v="Yes"/>
    <x v="0"/>
    <s v="Yes"/>
    <n v="20"/>
    <n v="7"/>
    <x v="12"/>
  </r>
  <r>
    <n v="3328"/>
    <s v="Klara Costa"/>
    <x v="2"/>
    <d v="2024-06-02T00:00:00"/>
    <x v="1"/>
    <n v="10"/>
    <x v="1"/>
    <s v="No"/>
    <x v="1"/>
    <s v="Yes"/>
    <n v="20"/>
    <n v="10"/>
    <x v="2"/>
  </r>
  <r>
    <n v="3329"/>
    <s v="Luciana Mendes"/>
    <x v="1"/>
    <d v="2024-06-03T00:00:00"/>
    <x v="0"/>
    <n v="5"/>
    <x v="2"/>
    <s v="No"/>
    <x v="1"/>
    <s v="No"/>
    <n v="0"/>
    <n v="1"/>
    <x v="4"/>
  </r>
  <r>
    <n v="3330"/>
    <s v="Marcelo Gouveia"/>
    <x v="0"/>
    <d v="2024-06-04T00:00:00"/>
    <x v="1"/>
    <n v="15"/>
    <x v="0"/>
    <s v="Yes"/>
    <x v="0"/>
    <s v="Yes"/>
    <n v="20"/>
    <n v="15"/>
    <x v="14"/>
  </r>
  <r>
    <n v="3331"/>
    <s v="Nívea Borges"/>
    <x v="2"/>
    <d v="2024-06-05T00:00:00"/>
    <x v="0"/>
    <n v="10"/>
    <x v="0"/>
    <s v="No"/>
    <x v="1"/>
    <s v="Yes"/>
    <n v="20"/>
    <n v="5"/>
    <x v="13"/>
  </r>
  <r>
    <n v="3332"/>
    <s v="Oscar Nogueira"/>
    <x v="1"/>
    <d v="2024-06-06T00:00:00"/>
    <x v="1"/>
    <n v="5"/>
    <x v="1"/>
    <s v="No"/>
    <x v="1"/>
    <s v="No"/>
    <n v="0"/>
    <n v="0"/>
    <x v="1"/>
  </r>
  <r>
    <n v="3333"/>
    <s v="Patrícia Alves"/>
    <x v="0"/>
    <d v="2024-06-07T00:00:00"/>
    <x v="0"/>
    <n v="15"/>
    <x v="2"/>
    <s v="Yes"/>
    <x v="0"/>
    <s v="Yes"/>
    <n v="20"/>
    <n v="20"/>
    <x v="8"/>
  </r>
  <r>
    <n v="3334"/>
    <s v="Rafaela Silva"/>
    <x v="2"/>
    <d v="2024-06-08T00:00:00"/>
    <x v="1"/>
    <n v="10"/>
    <x v="2"/>
    <s v="No"/>
    <x v="1"/>
    <s v="Yes"/>
    <n v="20"/>
    <n v="12"/>
    <x v="10"/>
  </r>
  <r>
    <n v="3335"/>
    <s v="Samantha Moraes"/>
    <x v="1"/>
    <d v="2024-06-09T00:00:00"/>
    <x v="0"/>
    <n v="5"/>
    <x v="0"/>
    <s v="No"/>
    <x v="1"/>
    <s v="No"/>
    <n v="0"/>
    <n v="2"/>
    <x v="11"/>
  </r>
  <r>
    <n v="3336"/>
    <s v="Tatiana Rocha"/>
    <x v="1"/>
    <d v="2024-06-10T00:00:00"/>
    <x v="0"/>
    <n v="5"/>
    <x v="0"/>
    <s v="No"/>
    <x v="1"/>
    <s v="No"/>
    <n v="0"/>
    <n v="0"/>
    <x v="1"/>
  </r>
  <r>
    <n v="3337"/>
    <s v="Ulisses Tavares"/>
    <x v="0"/>
    <d v="2024-06-11T00:00:00"/>
    <x v="1"/>
    <n v="15"/>
    <x v="2"/>
    <s v="Yes"/>
    <x v="0"/>
    <s v="Yes"/>
    <n v="20"/>
    <n v="7"/>
    <x v="12"/>
  </r>
  <r>
    <n v="3338"/>
    <s v="Víctor Lemos"/>
    <x v="2"/>
    <d v="2024-06-12T00:00:00"/>
    <x v="0"/>
    <n v="10"/>
    <x v="1"/>
    <s v="No"/>
    <x v="1"/>
    <s v="Yes"/>
    <n v="20"/>
    <n v="10"/>
    <x v="2"/>
  </r>
  <r>
    <n v="3339"/>
    <s v="Wilma Barros"/>
    <x v="1"/>
    <d v="2024-06-13T00:00:00"/>
    <x v="1"/>
    <n v="5"/>
    <x v="2"/>
    <s v="No"/>
    <x v="1"/>
    <s v="No"/>
    <n v="0"/>
    <n v="1"/>
    <x v="4"/>
  </r>
  <r>
    <n v="3340"/>
    <s v="Xavier Nascimento"/>
    <x v="0"/>
    <d v="2024-06-14T00:00:00"/>
    <x v="0"/>
    <n v="15"/>
    <x v="0"/>
    <s v="Yes"/>
    <x v="0"/>
    <s v="Yes"/>
    <n v="20"/>
    <n v="15"/>
    <x v="14"/>
  </r>
  <r>
    <n v="3341"/>
    <s v="Yago Pereira"/>
    <x v="2"/>
    <d v="2024-06-15T00:00:00"/>
    <x v="1"/>
    <n v="10"/>
    <x v="0"/>
    <s v="No"/>
    <x v="1"/>
    <s v="Yes"/>
    <n v="20"/>
    <n v="5"/>
    <x v="13"/>
  </r>
  <r>
    <n v="3342"/>
    <s v="Zilda Ferreira"/>
    <x v="1"/>
    <d v="2024-06-16T00:00:00"/>
    <x v="0"/>
    <n v="5"/>
    <x v="1"/>
    <s v="No"/>
    <x v="1"/>
    <s v="No"/>
    <n v="0"/>
    <n v="0"/>
    <x v="1"/>
  </r>
  <r>
    <n v="3343"/>
    <s v="Amanda Lopes"/>
    <x v="0"/>
    <d v="2024-06-17T00:00:00"/>
    <x v="1"/>
    <n v="15"/>
    <x v="2"/>
    <s v="Yes"/>
    <x v="0"/>
    <s v="Yes"/>
    <n v="20"/>
    <n v="20"/>
    <x v="8"/>
  </r>
  <r>
    <n v="3344"/>
    <s v="Bruno Miranda"/>
    <x v="2"/>
    <d v="2024-06-18T00:00:00"/>
    <x v="0"/>
    <n v="10"/>
    <x v="2"/>
    <s v="No"/>
    <x v="1"/>
    <s v="Yes"/>
    <n v="20"/>
    <n v="12"/>
    <x v="10"/>
  </r>
  <r>
    <n v="3345"/>
    <s v="Célia Torres"/>
    <x v="1"/>
    <d v="2024-06-19T00:00:00"/>
    <x v="1"/>
    <n v="5"/>
    <x v="0"/>
    <s v="No"/>
    <x v="1"/>
    <s v="No"/>
    <n v="0"/>
    <n v="2"/>
    <x v="11"/>
  </r>
  <r>
    <n v="3346"/>
    <s v="Diogo Souza"/>
    <x v="0"/>
    <d v="2024-06-20T00:00:00"/>
    <x v="0"/>
    <n v="15"/>
    <x v="1"/>
    <s v="Yes"/>
    <x v="0"/>
    <s v="Yes"/>
    <n v="20"/>
    <n v="5"/>
    <x v="0"/>
  </r>
  <r>
    <n v="3347"/>
    <s v="Elisa Castro"/>
    <x v="2"/>
    <d v="2024-06-21T00:00:00"/>
    <x v="1"/>
    <n v="10"/>
    <x v="0"/>
    <s v="No"/>
    <x v="1"/>
    <s v="Yes"/>
    <n v="20"/>
    <n v="10"/>
    <x v="2"/>
  </r>
  <r>
    <n v="3348"/>
    <s v="Fátima Lima"/>
    <x v="1"/>
    <d v="2024-06-22T00:00:00"/>
    <x v="0"/>
    <n v="5"/>
    <x v="2"/>
    <s v="No"/>
    <x v="1"/>
    <s v="No"/>
    <n v="0"/>
    <n v="0"/>
    <x v="1"/>
  </r>
  <r>
    <n v="3349"/>
    <s v="Geraldo Ribeiro"/>
    <x v="0"/>
    <d v="2024-06-23T00:00:00"/>
    <x v="1"/>
    <n v="15"/>
    <x v="0"/>
    <s v="Yes"/>
    <x v="0"/>
    <s v="Yes"/>
    <n v="20"/>
    <n v="3"/>
    <x v="3"/>
  </r>
  <r>
    <n v="3350"/>
    <s v="Hélio Martins"/>
    <x v="2"/>
    <d v="2024-06-24T00:00:00"/>
    <x v="0"/>
    <n v="10"/>
    <x v="1"/>
    <s v="No"/>
    <x v="1"/>
    <s v="Yes"/>
    <n v="20"/>
    <n v="15"/>
    <x v="7"/>
  </r>
  <r>
    <n v="3351"/>
    <s v="Íris Santos"/>
    <x v="1"/>
    <d v="2024-06-25T00:00:00"/>
    <x v="1"/>
    <n v="5"/>
    <x v="0"/>
    <s v="No"/>
    <x v="1"/>
    <s v="No"/>
    <n v="0"/>
    <n v="1"/>
    <x v="4"/>
  </r>
  <r>
    <n v="3352"/>
    <s v="João Marcelo"/>
    <x v="0"/>
    <d v="2024-06-26T00:00:00"/>
    <x v="0"/>
    <n v="15"/>
    <x v="2"/>
    <s v="Yes"/>
    <x v="0"/>
    <s v="Yes"/>
    <n v="20"/>
    <n v="7"/>
    <x v="12"/>
  </r>
  <r>
    <n v="3353"/>
    <s v="Larissa Gomes"/>
    <x v="2"/>
    <d v="2024-06-27T00:00:00"/>
    <x v="1"/>
    <n v="10"/>
    <x v="0"/>
    <s v="No"/>
    <x v="1"/>
    <s v="Yes"/>
    <n v="20"/>
    <n v="10"/>
    <x v="2"/>
  </r>
  <r>
    <n v="3354"/>
    <s v="Márcio Silva"/>
    <x v="1"/>
    <d v="2024-06-28T00:00:00"/>
    <x v="0"/>
    <n v="5"/>
    <x v="1"/>
    <s v="No"/>
    <x v="1"/>
    <s v="No"/>
    <n v="0"/>
    <n v="0"/>
    <x v="1"/>
  </r>
  <r>
    <n v="3355"/>
    <s v="Nadia Costa"/>
    <x v="0"/>
    <d v="2024-06-29T00:00:00"/>
    <x v="1"/>
    <n v="15"/>
    <x v="0"/>
    <s v="Yes"/>
    <x v="0"/>
    <s v="Yes"/>
    <n v="20"/>
    <n v="20"/>
    <x v="8"/>
  </r>
  <r>
    <n v="3356"/>
    <s v="Oscar Almeida"/>
    <x v="2"/>
    <d v="2024-06-30T00:00:00"/>
    <x v="0"/>
    <n v="10"/>
    <x v="2"/>
    <s v="No"/>
    <x v="1"/>
    <s v="Yes"/>
    <n v="20"/>
    <n v="15"/>
    <x v="7"/>
  </r>
  <r>
    <n v="3357"/>
    <s v="Patricia Soares"/>
    <x v="1"/>
    <d v="2024-07-01T00:00:00"/>
    <x v="1"/>
    <n v="5"/>
    <x v="0"/>
    <s v="No"/>
    <x v="1"/>
    <s v="No"/>
    <n v="0"/>
    <n v="1"/>
    <x v="4"/>
  </r>
  <r>
    <n v="3358"/>
    <s v="Quênia Barros"/>
    <x v="0"/>
    <d v="2024-07-02T00:00:00"/>
    <x v="0"/>
    <n v="15"/>
    <x v="1"/>
    <s v="Yes"/>
    <x v="0"/>
    <s v="Yes"/>
    <n v="20"/>
    <n v="3"/>
    <x v="3"/>
  </r>
  <r>
    <n v="3359"/>
    <s v="Rafael Torres"/>
    <x v="2"/>
    <d v="2024-07-03T00:00:00"/>
    <x v="1"/>
    <n v="10"/>
    <x v="0"/>
    <s v="No"/>
    <x v="1"/>
    <s v="Yes"/>
    <n v="20"/>
    <n v="10"/>
    <x v="2"/>
  </r>
  <r>
    <n v="3360"/>
    <s v="Silvia Nascimento"/>
    <x v="1"/>
    <d v="2024-07-04T00:00:00"/>
    <x v="0"/>
    <n v="5"/>
    <x v="2"/>
    <s v="No"/>
    <x v="1"/>
    <s v="No"/>
    <n v="0"/>
    <n v="0"/>
    <x v="1"/>
  </r>
  <r>
    <n v="3361"/>
    <s v="Tiago Mendes"/>
    <x v="0"/>
    <d v="2024-07-05T00:00:00"/>
    <x v="1"/>
    <n v="15"/>
    <x v="0"/>
    <s v="Yes"/>
    <x v="0"/>
    <s v="Yes"/>
    <n v="20"/>
    <n v="15"/>
    <x v="14"/>
  </r>
  <r>
    <n v="3362"/>
    <s v="Ursula Silva"/>
    <x v="2"/>
    <d v="2024-07-06T00:00:00"/>
    <x v="0"/>
    <n v="10"/>
    <x v="1"/>
    <s v="No"/>
    <x v="1"/>
    <s v="Yes"/>
    <n v="20"/>
    <n v="15"/>
    <x v="7"/>
  </r>
  <r>
    <n v="3363"/>
    <s v="Vanessa Moraes"/>
    <x v="1"/>
    <d v="2024-07-07T00:00:00"/>
    <x v="1"/>
    <n v="5"/>
    <x v="0"/>
    <s v="No"/>
    <x v="1"/>
    <s v="No"/>
    <n v="0"/>
    <n v="1"/>
    <x v="4"/>
  </r>
  <r>
    <n v="3364"/>
    <s v="Waldir Junior"/>
    <x v="0"/>
    <d v="2024-07-08T00:00:00"/>
    <x v="0"/>
    <n v="15"/>
    <x v="2"/>
    <s v="Yes"/>
    <x v="0"/>
    <s v="Yes"/>
    <n v="20"/>
    <n v="7"/>
    <x v="12"/>
  </r>
  <r>
    <n v="3365"/>
    <s v="Xavier Lopes"/>
    <x v="2"/>
    <d v="2024-07-09T00:00:00"/>
    <x v="1"/>
    <n v="10"/>
    <x v="0"/>
    <s v="No"/>
    <x v="1"/>
    <s v="Yes"/>
    <n v="20"/>
    <n v="10"/>
    <x v="2"/>
  </r>
  <r>
    <n v="3366"/>
    <s v="Yolanda Freitas"/>
    <x v="1"/>
    <d v="2024-07-10T00:00:00"/>
    <x v="0"/>
    <n v="5"/>
    <x v="0"/>
    <s v="No"/>
    <x v="1"/>
    <s v="No"/>
    <n v="0"/>
    <n v="0"/>
    <x v="1"/>
  </r>
  <r>
    <n v="3367"/>
    <s v="Zacarias Nunes"/>
    <x v="0"/>
    <d v="2024-07-11T00:00:00"/>
    <x v="1"/>
    <n v="15"/>
    <x v="2"/>
    <s v="Yes"/>
    <x v="0"/>
    <s v="Yes"/>
    <n v="20"/>
    <n v="7"/>
    <x v="12"/>
  </r>
  <r>
    <n v="3368"/>
    <s v="Ana Clara Barreto"/>
    <x v="2"/>
    <d v="2024-07-12T00:00:00"/>
    <x v="0"/>
    <n v="10"/>
    <x v="1"/>
    <s v="No"/>
    <x v="1"/>
    <s v="Yes"/>
    <n v="20"/>
    <n v="10"/>
    <x v="2"/>
  </r>
  <r>
    <n v="3369"/>
    <s v="Bruno Henrique"/>
    <x v="1"/>
    <d v="2024-07-13T00:00:00"/>
    <x v="1"/>
    <n v="5"/>
    <x v="2"/>
    <s v="No"/>
    <x v="1"/>
    <s v="No"/>
    <n v="0"/>
    <n v="1"/>
    <x v="4"/>
  </r>
  <r>
    <n v="3370"/>
    <s v="Carlos Eduardo"/>
    <x v="0"/>
    <d v="2024-07-14T00:00:00"/>
    <x v="0"/>
    <n v="15"/>
    <x v="0"/>
    <s v="Yes"/>
    <x v="0"/>
    <s v="Yes"/>
    <n v="20"/>
    <n v="15"/>
    <x v="14"/>
  </r>
  <r>
    <n v="3371"/>
    <s v="Débora Lima"/>
    <x v="2"/>
    <d v="2024-07-15T00:00:00"/>
    <x v="1"/>
    <n v="10"/>
    <x v="0"/>
    <s v="No"/>
    <x v="1"/>
    <s v="Yes"/>
    <n v="20"/>
    <n v="5"/>
    <x v="13"/>
  </r>
  <r>
    <n v="3372"/>
    <s v="Elisa Neves"/>
    <x v="1"/>
    <d v="2024-07-16T00:00:00"/>
    <x v="0"/>
    <n v="5"/>
    <x v="1"/>
    <s v="No"/>
    <x v="1"/>
    <s v="No"/>
    <n v="0"/>
    <n v="0"/>
    <x v="1"/>
  </r>
  <r>
    <n v="3373"/>
    <s v="Fabiano Gomes"/>
    <x v="0"/>
    <d v="2024-07-17T00:00:00"/>
    <x v="1"/>
    <n v="15"/>
    <x v="2"/>
    <s v="Yes"/>
    <x v="0"/>
    <s v="Yes"/>
    <n v="20"/>
    <n v="20"/>
    <x v="8"/>
  </r>
  <r>
    <n v="3374"/>
    <s v="Gisele Oliveira"/>
    <x v="2"/>
    <d v="2024-07-18T00:00:00"/>
    <x v="0"/>
    <n v="10"/>
    <x v="2"/>
    <s v="No"/>
    <x v="1"/>
    <s v="Yes"/>
    <n v="20"/>
    <n v="12"/>
    <x v="10"/>
  </r>
  <r>
    <n v="3375"/>
    <s v="Héctor Silva"/>
    <x v="1"/>
    <d v="2024-07-19T00:00:00"/>
    <x v="1"/>
    <n v="5"/>
    <x v="0"/>
    <s v="No"/>
    <x v="1"/>
    <s v="No"/>
    <n v="0"/>
    <n v="2"/>
    <x v="11"/>
  </r>
  <r>
    <n v="3376"/>
    <s v="Igor Martins"/>
    <x v="0"/>
    <d v="2024-07-20T00:00:00"/>
    <x v="0"/>
    <n v="15"/>
    <x v="1"/>
    <s v="Yes"/>
    <x v="0"/>
    <s v="Yes"/>
    <n v="20"/>
    <n v="5"/>
    <x v="0"/>
  </r>
  <r>
    <n v="3377"/>
    <s v="Joana Figueiredo"/>
    <x v="2"/>
    <d v="2024-07-21T00:00:00"/>
    <x v="1"/>
    <n v="10"/>
    <x v="0"/>
    <s v="No"/>
    <x v="1"/>
    <s v="Yes"/>
    <n v="20"/>
    <n v="10"/>
    <x v="2"/>
  </r>
  <r>
    <n v="3378"/>
    <s v="Kleber Machado"/>
    <x v="1"/>
    <d v="2024-07-22T00:00:00"/>
    <x v="0"/>
    <n v="5"/>
    <x v="2"/>
    <s v="No"/>
    <x v="1"/>
    <s v="No"/>
    <n v="0"/>
    <n v="0"/>
    <x v="1"/>
  </r>
  <r>
    <n v="3379"/>
    <s v="Luciana Santos"/>
    <x v="0"/>
    <d v="2024-07-23T00:00:00"/>
    <x v="1"/>
    <n v="15"/>
    <x v="0"/>
    <s v="Yes"/>
    <x v="0"/>
    <s v="Yes"/>
    <n v="20"/>
    <n v="3"/>
    <x v="3"/>
  </r>
  <r>
    <n v="3380"/>
    <s v="Marcos Teixeira"/>
    <x v="2"/>
    <d v="2024-07-24T00:00:00"/>
    <x v="0"/>
    <n v="10"/>
    <x v="1"/>
    <s v="No"/>
    <x v="1"/>
    <s v="Yes"/>
    <n v="20"/>
    <n v="15"/>
    <x v="7"/>
  </r>
  <r>
    <n v="3381"/>
    <s v="Natalia Costa"/>
    <x v="1"/>
    <d v="2024-07-25T00:00:00"/>
    <x v="1"/>
    <n v="5"/>
    <x v="0"/>
    <s v="No"/>
    <x v="1"/>
    <s v="No"/>
    <n v="0"/>
    <n v="1"/>
    <x v="4"/>
  </r>
  <r>
    <n v="3382"/>
    <s v="Oscar Ribeiro"/>
    <x v="0"/>
    <d v="2024-07-26T00:00:00"/>
    <x v="0"/>
    <n v="15"/>
    <x v="2"/>
    <s v="Yes"/>
    <x v="0"/>
    <s v="Yes"/>
    <n v="20"/>
    <n v="7"/>
    <x v="12"/>
  </r>
  <r>
    <n v="3383"/>
    <s v="Patricia Almeida"/>
    <x v="2"/>
    <d v="2024-07-27T00:00:00"/>
    <x v="1"/>
    <n v="10"/>
    <x v="0"/>
    <s v="No"/>
    <x v="1"/>
    <s v="Yes"/>
    <n v="20"/>
    <n v="10"/>
    <x v="2"/>
  </r>
  <r>
    <n v="3384"/>
    <s v="Quirino Junior"/>
    <x v="1"/>
    <d v="2024-07-28T00:00:00"/>
    <x v="0"/>
    <n v="5"/>
    <x v="1"/>
    <s v="No"/>
    <x v="1"/>
    <s v="No"/>
    <n v="0"/>
    <n v="0"/>
    <x v="1"/>
  </r>
  <r>
    <n v="3385"/>
    <s v="Renata Machado"/>
    <x v="0"/>
    <d v="2024-07-29T00:00:00"/>
    <x v="1"/>
    <n v="15"/>
    <x v="0"/>
    <s v="Yes"/>
    <x v="0"/>
    <s v="Yes"/>
    <n v="20"/>
    <n v="20"/>
    <x v="8"/>
  </r>
  <r>
    <n v="3386"/>
    <s v="Sônia Alves"/>
    <x v="2"/>
    <d v="2024-07-30T00:00:00"/>
    <x v="0"/>
    <n v="10"/>
    <x v="2"/>
    <s v="No"/>
    <x v="1"/>
    <s v="Yes"/>
    <n v="20"/>
    <n v="15"/>
    <x v="7"/>
  </r>
  <r>
    <n v="3387"/>
    <s v="Tiago Nunes"/>
    <x v="1"/>
    <d v="2024-07-31T00:00:00"/>
    <x v="1"/>
    <n v="5"/>
    <x v="0"/>
    <s v="No"/>
    <x v="1"/>
    <s v="No"/>
    <n v="0"/>
    <n v="1"/>
    <x v="4"/>
  </r>
  <r>
    <n v="3388"/>
    <s v="Ulysses Pereira"/>
    <x v="0"/>
    <d v="2024-08-01T00:00:00"/>
    <x v="0"/>
    <n v="15"/>
    <x v="1"/>
    <s v="Yes"/>
    <x v="0"/>
    <s v="Yes"/>
    <n v="20"/>
    <n v="3"/>
    <x v="3"/>
  </r>
  <r>
    <n v="3389"/>
    <s v="Vanessa Lima"/>
    <x v="2"/>
    <d v="2024-08-02T00:00:00"/>
    <x v="1"/>
    <n v="10"/>
    <x v="0"/>
    <s v="No"/>
    <x v="1"/>
    <s v="Yes"/>
    <n v="20"/>
    <n v="10"/>
    <x v="2"/>
  </r>
  <r>
    <n v="3390"/>
    <s v="Wagner Santos"/>
    <x v="1"/>
    <d v="2024-08-03T00:00:00"/>
    <x v="0"/>
    <n v="5"/>
    <x v="2"/>
    <s v="No"/>
    <x v="1"/>
    <s v="No"/>
    <n v="0"/>
    <n v="0"/>
    <x v="1"/>
  </r>
  <r>
    <n v="3391"/>
    <s v="Xuxa Meneghel"/>
    <x v="0"/>
    <d v="2024-08-04T00:00:00"/>
    <x v="1"/>
    <n v="15"/>
    <x v="0"/>
    <s v="Yes"/>
    <x v="0"/>
    <s v="Yes"/>
    <n v="20"/>
    <n v="15"/>
    <x v="14"/>
  </r>
  <r>
    <n v="3392"/>
    <s v="Yasmin Silva"/>
    <x v="2"/>
    <d v="2024-08-05T00:00:00"/>
    <x v="0"/>
    <n v="10"/>
    <x v="1"/>
    <s v="No"/>
    <x v="1"/>
    <s v="Yes"/>
    <n v="20"/>
    <n v="15"/>
    <x v="7"/>
  </r>
  <r>
    <n v="3393"/>
    <s v="Zacarias de Souza"/>
    <x v="1"/>
    <d v="2024-08-06T00:00:00"/>
    <x v="1"/>
    <n v="5"/>
    <x v="0"/>
    <s v="No"/>
    <x v="1"/>
    <s v="No"/>
    <n v="0"/>
    <n v="1"/>
    <x v="4"/>
  </r>
  <r>
    <n v="3394"/>
    <s v="André Lima"/>
    <x v="0"/>
    <d v="2024-08-07T00:00:00"/>
    <x v="0"/>
    <n v="15"/>
    <x v="2"/>
    <s v="Yes"/>
    <x v="0"/>
    <s v="Yes"/>
    <n v="20"/>
    <n v="7"/>
    <x v="12"/>
  </r>
  <r>
    <n v="3395"/>
    <s v="Bianca Freitas"/>
    <x v="2"/>
    <d v="2024-08-08T00:00:00"/>
    <x v="1"/>
    <n v="10"/>
    <x v="0"/>
    <s v="No"/>
    <x v="1"/>
    <s v="Yes"/>
    <n v="20"/>
    <n v="10"/>
    <x v="2"/>
  </r>
  <r>
    <n v="3396"/>
    <s v="Caio Mendes"/>
    <x v="1"/>
    <d v="2024-08-09T00:00:00"/>
    <x v="0"/>
    <n v="5"/>
    <x v="1"/>
    <s v="No"/>
    <x v="1"/>
    <s v="No"/>
    <n v="0"/>
    <n v="0"/>
    <x v="1"/>
  </r>
  <r>
    <n v="3397"/>
    <s v="Daniela Moura"/>
    <x v="0"/>
    <d v="2024-08-10T00:00:00"/>
    <x v="1"/>
    <n v="15"/>
    <x v="0"/>
    <s v="Yes"/>
    <x v="0"/>
    <s v="Yes"/>
    <n v="20"/>
    <n v="20"/>
    <x v="8"/>
  </r>
  <r>
    <n v="3398"/>
    <s v="Eduardo Costa"/>
    <x v="2"/>
    <d v="2024-08-11T00:00:00"/>
    <x v="0"/>
    <n v="10"/>
    <x v="2"/>
    <s v="No"/>
    <x v="1"/>
    <s v="Yes"/>
    <n v="20"/>
    <n v="15"/>
    <x v="7"/>
  </r>
  <r>
    <n v="3399"/>
    <s v="Fernanda Gomes"/>
    <x v="1"/>
    <d v="2024-08-12T00:00:00"/>
    <x v="1"/>
    <n v="5"/>
    <x v="0"/>
    <s v="No"/>
    <x v="1"/>
    <s v="No"/>
    <n v="0"/>
    <n v="1"/>
    <x v="4"/>
  </r>
  <r>
    <n v="3400"/>
    <s v="Guilherme Souza"/>
    <x v="0"/>
    <d v="2024-08-13T00:00:00"/>
    <x v="0"/>
    <n v="15"/>
    <x v="1"/>
    <s v="Yes"/>
    <x v="0"/>
    <s v="Yes"/>
    <n v="20"/>
    <n v="5"/>
    <x v="0"/>
  </r>
  <r>
    <n v="3401"/>
    <s v="Helena Ribeiro"/>
    <x v="2"/>
    <d v="2024-08-14T00:00:00"/>
    <x v="1"/>
    <n v="10"/>
    <x v="0"/>
    <s v="No"/>
    <x v="1"/>
    <s v="Yes"/>
    <n v="20"/>
    <n v="10"/>
    <x v="2"/>
  </r>
  <r>
    <n v="3402"/>
    <s v="Igor Santos"/>
    <x v="1"/>
    <d v="2024-08-15T00:00:00"/>
    <x v="0"/>
    <n v="5"/>
    <x v="2"/>
    <s v="No"/>
    <x v="1"/>
    <s v="No"/>
    <n v="0"/>
    <n v="0"/>
    <x v="1"/>
  </r>
  <r>
    <n v="3403"/>
    <s v="João Carvalho"/>
    <x v="0"/>
    <d v="2024-08-16T00:00:00"/>
    <x v="1"/>
    <n v="15"/>
    <x v="0"/>
    <s v="Yes"/>
    <x v="0"/>
    <s v="Yes"/>
    <n v="20"/>
    <n v="3"/>
    <x v="3"/>
  </r>
  <r>
    <n v="3404"/>
    <s v="Klara Fagundes"/>
    <x v="2"/>
    <d v="2024-08-17T00:00:00"/>
    <x v="0"/>
    <n v="10"/>
    <x v="1"/>
    <s v="No"/>
    <x v="1"/>
    <s v="Yes"/>
    <n v="20"/>
    <n v="15"/>
    <x v="7"/>
  </r>
  <r>
    <n v="3405"/>
    <s v="Lúcia Mendonça"/>
    <x v="1"/>
    <d v="2024-08-18T00:00:00"/>
    <x v="1"/>
    <n v="5"/>
    <x v="0"/>
    <s v="No"/>
    <x v="1"/>
    <s v="No"/>
    <n v="0"/>
    <n v="1"/>
    <x v="4"/>
  </r>
  <r>
    <n v="3406"/>
    <s v="Marcelo Novaes"/>
    <x v="1"/>
    <d v="2024-08-19T00:00:00"/>
    <x v="0"/>
    <n v="5"/>
    <x v="0"/>
    <s v="No"/>
    <x v="1"/>
    <s v="No"/>
    <n v="0"/>
    <n v="0"/>
    <x v="1"/>
  </r>
  <r>
    <n v="3407"/>
    <s v="Nina Pacheco"/>
    <x v="0"/>
    <d v="2024-08-20T00:00:00"/>
    <x v="1"/>
    <n v="15"/>
    <x v="2"/>
    <s v="Yes"/>
    <x v="0"/>
    <s v="Yes"/>
    <n v="20"/>
    <n v="7"/>
    <x v="12"/>
  </r>
  <r>
    <n v="3408"/>
    <s v="Olívia Rios"/>
    <x v="2"/>
    <d v="2024-08-21T00:00:00"/>
    <x v="0"/>
    <n v="10"/>
    <x v="1"/>
    <s v="No"/>
    <x v="1"/>
    <s v="Yes"/>
    <n v="20"/>
    <n v="10"/>
    <x v="2"/>
  </r>
  <r>
    <n v="3409"/>
    <s v="Paulo Quintana"/>
    <x v="1"/>
    <d v="2024-08-22T00:00:00"/>
    <x v="1"/>
    <n v="5"/>
    <x v="2"/>
    <s v="No"/>
    <x v="1"/>
    <s v="No"/>
    <n v="0"/>
    <n v="1"/>
    <x v="4"/>
  </r>
  <r>
    <n v="3410"/>
    <s v="Raquel Domingos"/>
    <x v="0"/>
    <d v="2024-08-23T00:00:00"/>
    <x v="0"/>
    <n v="15"/>
    <x v="0"/>
    <s v="Yes"/>
    <x v="0"/>
    <s v="Yes"/>
    <n v="20"/>
    <n v="15"/>
    <x v="14"/>
  </r>
  <r>
    <n v="3411"/>
    <s v="Samuel Viana"/>
    <x v="2"/>
    <d v="2024-08-24T00:00:00"/>
    <x v="1"/>
    <n v="10"/>
    <x v="0"/>
    <s v="No"/>
    <x v="1"/>
    <s v="Yes"/>
    <n v="20"/>
    <n v="5"/>
    <x v="13"/>
  </r>
  <r>
    <n v="3412"/>
    <s v="Tatiane Rocha"/>
    <x v="1"/>
    <d v="2024-08-25T00:00:00"/>
    <x v="0"/>
    <n v="5"/>
    <x v="1"/>
    <s v="No"/>
    <x v="1"/>
    <s v="No"/>
    <n v="0"/>
    <n v="0"/>
    <x v="1"/>
  </r>
  <r>
    <n v="3413"/>
    <s v="Ulysses Farias"/>
    <x v="0"/>
    <d v="2024-08-26T00:00:00"/>
    <x v="1"/>
    <n v="15"/>
    <x v="2"/>
    <s v="Yes"/>
    <x v="0"/>
    <s v="Yes"/>
    <n v="20"/>
    <n v="20"/>
    <x v="8"/>
  </r>
  <r>
    <n v="3414"/>
    <s v="Vanessa Moreira"/>
    <x v="2"/>
    <d v="2024-08-27T00:00:00"/>
    <x v="0"/>
    <n v="10"/>
    <x v="2"/>
    <s v="No"/>
    <x v="1"/>
    <s v="Yes"/>
    <n v="20"/>
    <n v="12"/>
    <x v="10"/>
  </r>
  <r>
    <n v="3415"/>
    <s v="William Carvalho"/>
    <x v="1"/>
    <d v="2024-08-28T00:00:00"/>
    <x v="1"/>
    <n v="5"/>
    <x v="0"/>
    <s v="No"/>
    <x v="1"/>
    <s v="No"/>
    <n v="0"/>
    <n v="2"/>
    <x v="11"/>
  </r>
  <r>
    <n v="3416"/>
    <s v="Ximena Barros"/>
    <x v="0"/>
    <d v="2024-08-29T00:00:00"/>
    <x v="0"/>
    <n v="15"/>
    <x v="1"/>
    <s v="Yes"/>
    <x v="0"/>
    <s v="Yes"/>
    <n v="20"/>
    <n v="5"/>
    <x v="0"/>
  </r>
  <r>
    <n v="3417"/>
    <s v="Yara Machado"/>
    <x v="2"/>
    <d v="2024-08-30T00:00:00"/>
    <x v="1"/>
    <n v="10"/>
    <x v="0"/>
    <s v="No"/>
    <x v="1"/>
    <s v="Yes"/>
    <n v="20"/>
    <n v="10"/>
    <x v="2"/>
  </r>
  <r>
    <n v="3418"/>
    <s v="Zacarias Costa"/>
    <x v="1"/>
    <d v="2024-08-31T00:00:00"/>
    <x v="0"/>
    <n v="5"/>
    <x v="2"/>
    <s v="No"/>
    <x v="1"/>
    <s v="No"/>
    <n v="0"/>
    <n v="0"/>
    <x v="1"/>
  </r>
  <r>
    <n v="3419"/>
    <s v="André Lopes"/>
    <x v="0"/>
    <d v="2024-09-01T00:00:00"/>
    <x v="1"/>
    <n v="15"/>
    <x v="0"/>
    <s v="Yes"/>
    <x v="0"/>
    <s v="Yes"/>
    <n v="20"/>
    <n v="3"/>
    <x v="3"/>
  </r>
  <r>
    <n v="3420"/>
    <s v="Beatriz Souza"/>
    <x v="2"/>
    <d v="2024-09-02T00:00:00"/>
    <x v="0"/>
    <n v="10"/>
    <x v="1"/>
    <s v="No"/>
    <x v="1"/>
    <s v="Yes"/>
    <n v="20"/>
    <n v="15"/>
    <x v="7"/>
  </r>
  <r>
    <n v="3421"/>
    <s v="Caio Pereira"/>
    <x v="1"/>
    <d v="2024-09-03T00:00:00"/>
    <x v="1"/>
    <n v="5"/>
    <x v="0"/>
    <s v="No"/>
    <x v="1"/>
    <s v="No"/>
    <n v="0"/>
    <n v="1"/>
    <x v="4"/>
  </r>
  <r>
    <n v="3422"/>
    <s v="Daniela Araújo"/>
    <x v="0"/>
    <d v="2024-09-04T00:00:00"/>
    <x v="0"/>
    <n v="15"/>
    <x v="2"/>
    <s v="Yes"/>
    <x v="0"/>
    <s v="Yes"/>
    <n v="20"/>
    <n v="7"/>
    <x v="12"/>
  </r>
  <r>
    <n v="3423"/>
    <s v="Eduardo Santos"/>
    <x v="2"/>
    <d v="2024-09-05T00:00:00"/>
    <x v="1"/>
    <n v="10"/>
    <x v="0"/>
    <s v="No"/>
    <x v="1"/>
    <s v="Yes"/>
    <n v="20"/>
    <n v="10"/>
    <x v="2"/>
  </r>
  <r>
    <n v="3424"/>
    <s v="Fernanda Lima"/>
    <x v="1"/>
    <d v="2024-09-06T00:00:00"/>
    <x v="0"/>
    <n v="5"/>
    <x v="1"/>
    <s v="No"/>
    <x v="1"/>
    <s v="No"/>
    <n v="0"/>
    <n v="0"/>
    <x v="1"/>
  </r>
  <r>
    <n v="3425"/>
    <s v="Gabriel Teixeira"/>
    <x v="0"/>
    <d v="2024-09-07T00:00:00"/>
    <x v="1"/>
    <n v="15"/>
    <x v="0"/>
    <s v="Yes"/>
    <x v="0"/>
    <s v="Yes"/>
    <n v="20"/>
    <n v="20"/>
    <x v="8"/>
  </r>
  <r>
    <n v="3426"/>
    <s v="Helena Ribeiro"/>
    <x v="2"/>
    <d v="2024-09-08T00:00:00"/>
    <x v="0"/>
    <n v="10"/>
    <x v="2"/>
    <s v="No"/>
    <x v="1"/>
    <s v="Yes"/>
    <n v="20"/>
    <n v="15"/>
    <x v="7"/>
  </r>
  <r>
    <n v="3427"/>
    <s v="Igor Mendes"/>
    <x v="1"/>
    <d v="2024-09-09T00:00:00"/>
    <x v="1"/>
    <n v="5"/>
    <x v="0"/>
    <s v="No"/>
    <x v="1"/>
    <s v="No"/>
    <n v="0"/>
    <n v="1"/>
    <x v="4"/>
  </r>
  <r>
    <n v="3428"/>
    <s v="Joana Silveira"/>
    <x v="0"/>
    <d v="2024-09-10T00:00:00"/>
    <x v="0"/>
    <n v="15"/>
    <x v="1"/>
    <s v="Yes"/>
    <x v="0"/>
    <s v="Yes"/>
    <n v="20"/>
    <n v="3"/>
    <x v="3"/>
  </r>
  <r>
    <n v="3429"/>
    <s v="Lucas Martins"/>
    <x v="2"/>
    <d v="2024-09-11T00:00:00"/>
    <x v="1"/>
    <n v="10"/>
    <x v="0"/>
    <s v="No"/>
    <x v="1"/>
    <s v="Yes"/>
    <n v="20"/>
    <n v="10"/>
    <x v="2"/>
  </r>
  <r>
    <n v="3430"/>
    <s v="Marcela Gouveia"/>
    <x v="1"/>
    <d v="2024-09-12T00:00:00"/>
    <x v="0"/>
    <n v="5"/>
    <x v="2"/>
    <s v="No"/>
    <x v="1"/>
    <s v="No"/>
    <n v="0"/>
    <n v="0"/>
    <x v="1"/>
  </r>
  <r>
    <n v="3431"/>
    <s v="Nicolas Borges"/>
    <x v="0"/>
    <d v="2024-09-13T00:00:00"/>
    <x v="1"/>
    <n v="15"/>
    <x v="0"/>
    <s v="Yes"/>
    <x v="0"/>
    <s v="Yes"/>
    <n v="20"/>
    <n v="15"/>
    <x v="14"/>
  </r>
  <r>
    <n v="3432"/>
    <s v="Olivia Freitas"/>
    <x v="2"/>
    <d v="2024-09-14T00:00:00"/>
    <x v="0"/>
    <n v="10"/>
    <x v="1"/>
    <s v="No"/>
    <x v="1"/>
    <s v="Yes"/>
    <n v="20"/>
    <n v="15"/>
    <x v="7"/>
  </r>
  <r>
    <n v="3433"/>
    <s v="Paulo Nogueira"/>
    <x v="1"/>
    <d v="2024-09-15T00:00:00"/>
    <x v="1"/>
    <n v="5"/>
    <x v="0"/>
    <s v="No"/>
    <x v="1"/>
    <s v="No"/>
    <n v="0"/>
    <n v="1"/>
    <x v="4"/>
  </r>
  <r>
    <n v="3434"/>
    <s v="Raquel Andrade"/>
    <x v="0"/>
    <d v="2024-09-16T00:00:00"/>
    <x v="0"/>
    <n v="15"/>
    <x v="2"/>
    <s v="Yes"/>
    <x v="0"/>
    <s v="Yes"/>
    <n v="20"/>
    <n v="7"/>
    <x v="12"/>
  </r>
  <r>
    <n v="3435"/>
    <s v="Sônia Carvalho"/>
    <x v="2"/>
    <d v="2024-09-17T00:00:00"/>
    <x v="1"/>
    <n v="10"/>
    <x v="0"/>
    <s v="No"/>
    <x v="1"/>
    <s v="Yes"/>
    <n v="20"/>
    <n v="10"/>
    <x v="2"/>
  </r>
  <r>
    <n v="3436"/>
    <s v="Tiago Rodrigues"/>
    <x v="1"/>
    <d v="2024-09-18T00:00:00"/>
    <x v="0"/>
    <n v="5"/>
    <x v="0"/>
    <s v="No"/>
    <x v="1"/>
    <s v="No"/>
    <n v="0"/>
    <n v="0"/>
    <x v="1"/>
  </r>
  <r>
    <n v="3437"/>
    <s v="Ursula Monteiro"/>
    <x v="0"/>
    <d v="2024-09-19T00:00:00"/>
    <x v="1"/>
    <n v="15"/>
    <x v="2"/>
    <s v="Yes"/>
    <x v="0"/>
    <s v="Yes"/>
    <n v="20"/>
    <n v="7"/>
    <x v="12"/>
  </r>
  <r>
    <n v="3438"/>
    <s v="Vanessa Pereira"/>
    <x v="2"/>
    <d v="2024-09-20T00:00:00"/>
    <x v="0"/>
    <n v="10"/>
    <x v="1"/>
    <s v="No"/>
    <x v="1"/>
    <s v="Yes"/>
    <n v="20"/>
    <n v="10"/>
    <x v="2"/>
  </r>
  <r>
    <n v="3439"/>
    <s v="Walter Silva"/>
    <x v="1"/>
    <d v="2024-09-21T00:00:00"/>
    <x v="1"/>
    <n v="5"/>
    <x v="2"/>
    <s v="No"/>
    <x v="1"/>
    <s v="No"/>
    <n v="0"/>
    <n v="1"/>
    <x v="4"/>
  </r>
  <r>
    <n v="3440"/>
    <s v="Xavier Almeida"/>
    <x v="0"/>
    <d v="2024-09-22T00:00:00"/>
    <x v="0"/>
    <n v="15"/>
    <x v="0"/>
    <s v="Yes"/>
    <x v="0"/>
    <s v="Yes"/>
    <n v="20"/>
    <n v="15"/>
    <x v="14"/>
  </r>
  <r>
    <n v="3441"/>
    <s v="Yasmine Correia"/>
    <x v="2"/>
    <d v="2024-09-23T00:00:00"/>
    <x v="1"/>
    <n v="10"/>
    <x v="0"/>
    <s v="No"/>
    <x v="1"/>
    <s v="Yes"/>
    <n v="20"/>
    <n v="5"/>
    <x v="13"/>
  </r>
  <r>
    <n v="3442"/>
    <s v="Zacarias Almeida"/>
    <x v="1"/>
    <d v="2024-09-24T00:00:00"/>
    <x v="0"/>
    <n v="5"/>
    <x v="1"/>
    <s v="No"/>
    <x v="1"/>
    <s v="No"/>
    <n v="0"/>
    <n v="0"/>
    <x v="1"/>
  </r>
  <r>
    <n v="3443"/>
    <s v="Amanda Costa"/>
    <x v="0"/>
    <d v="2024-09-25T00:00:00"/>
    <x v="1"/>
    <n v="15"/>
    <x v="2"/>
    <s v="Yes"/>
    <x v="0"/>
    <s v="Yes"/>
    <n v="20"/>
    <n v="20"/>
    <x v="8"/>
  </r>
  <r>
    <n v="3444"/>
    <s v="Bruno Ferreira"/>
    <x v="2"/>
    <d v="2024-09-26T00:00:00"/>
    <x v="0"/>
    <n v="10"/>
    <x v="2"/>
    <s v="No"/>
    <x v="1"/>
    <s v="Yes"/>
    <n v="20"/>
    <n v="12"/>
    <x v="10"/>
  </r>
  <r>
    <n v="3445"/>
    <s v="Carla Dias"/>
    <x v="1"/>
    <d v="2024-09-27T00:00:00"/>
    <x v="1"/>
    <n v="5"/>
    <x v="0"/>
    <s v="No"/>
    <x v="1"/>
    <s v="No"/>
    <n v="0"/>
    <n v="2"/>
    <x v="11"/>
  </r>
  <r>
    <n v="3446"/>
    <s v="Diogo Martins"/>
    <x v="0"/>
    <d v="2024-09-28T00:00:00"/>
    <x v="0"/>
    <n v="15"/>
    <x v="1"/>
    <s v="Yes"/>
    <x v="0"/>
    <s v="Yes"/>
    <n v="20"/>
    <n v="5"/>
    <x v="0"/>
  </r>
  <r>
    <n v="3447"/>
    <s v="Elisa Campos"/>
    <x v="2"/>
    <d v="2024-09-29T00:00:00"/>
    <x v="1"/>
    <n v="10"/>
    <x v="0"/>
    <s v="No"/>
    <x v="1"/>
    <s v="Yes"/>
    <n v="20"/>
    <n v="10"/>
    <x v="2"/>
  </r>
  <r>
    <n v="3448"/>
    <s v="Fabiana Lima"/>
    <x v="1"/>
    <d v="2024-09-30T00:00:00"/>
    <x v="0"/>
    <n v="5"/>
    <x v="2"/>
    <s v="No"/>
    <x v="1"/>
    <s v="No"/>
    <n v="0"/>
    <n v="0"/>
    <x v="1"/>
  </r>
  <r>
    <n v="3449"/>
    <s v="Gabriel Santos"/>
    <x v="0"/>
    <d v="2024-10-01T00:00:00"/>
    <x v="1"/>
    <n v="15"/>
    <x v="0"/>
    <s v="Yes"/>
    <x v="0"/>
    <s v="Yes"/>
    <n v="20"/>
    <n v="3"/>
    <x v="3"/>
  </r>
  <r>
    <n v="3450"/>
    <s v="Helena Ferreira"/>
    <x v="2"/>
    <d v="2024-10-02T00:00:00"/>
    <x v="0"/>
    <n v="10"/>
    <x v="1"/>
    <s v="No"/>
    <x v="1"/>
    <s v="Yes"/>
    <n v="20"/>
    <n v="15"/>
    <x v="7"/>
  </r>
  <r>
    <n v="3451"/>
    <s v="Ígor Nunes"/>
    <x v="1"/>
    <d v="2024-10-03T00:00:00"/>
    <x v="1"/>
    <n v="5"/>
    <x v="0"/>
    <s v="No"/>
    <x v="1"/>
    <s v="No"/>
    <n v="0"/>
    <n v="1"/>
    <x v="4"/>
  </r>
  <r>
    <n v="3452"/>
    <s v="Joana Silveira"/>
    <x v="0"/>
    <d v="2024-10-04T00:00:00"/>
    <x v="0"/>
    <n v="15"/>
    <x v="2"/>
    <s v="Yes"/>
    <x v="0"/>
    <s v="Yes"/>
    <n v="20"/>
    <n v="7"/>
    <x v="12"/>
  </r>
  <r>
    <n v="3453"/>
    <s v="Kléber Oliveira"/>
    <x v="2"/>
    <d v="2024-10-05T00:00:00"/>
    <x v="1"/>
    <n v="10"/>
    <x v="0"/>
    <s v="No"/>
    <x v="1"/>
    <s v="Yes"/>
    <n v="20"/>
    <n v="10"/>
    <x v="2"/>
  </r>
  <r>
    <n v="3454"/>
    <s v="Luciana Morais"/>
    <x v="1"/>
    <d v="2024-10-06T00:00:00"/>
    <x v="0"/>
    <n v="5"/>
    <x v="1"/>
    <s v="No"/>
    <x v="1"/>
    <s v="No"/>
    <n v="0"/>
    <n v="0"/>
    <x v="1"/>
  </r>
  <r>
    <n v="3455"/>
    <s v="Marcos Vinícius"/>
    <x v="0"/>
    <d v="2024-10-07T00:00:00"/>
    <x v="1"/>
    <n v="15"/>
    <x v="0"/>
    <s v="Yes"/>
    <x v="0"/>
    <s v="Yes"/>
    <n v="20"/>
    <n v="20"/>
    <x v="8"/>
  </r>
  <r>
    <n v="3456"/>
    <s v="Natália Barros"/>
    <x v="2"/>
    <d v="2024-10-08T00:00:00"/>
    <x v="0"/>
    <n v="10"/>
    <x v="2"/>
    <s v="No"/>
    <x v="1"/>
    <s v="Yes"/>
    <n v="20"/>
    <n v="15"/>
    <x v="7"/>
  </r>
  <r>
    <n v="3457"/>
    <s v="Oscar Sampaio"/>
    <x v="1"/>
    <d v="2024-10-09T00:00:00"/>
    <x v="1"/>
    <n v="5"/>
    <x v="0"/>
    <s v="No"/>
    <x v="1"/>
    <s v="No"/>
    <n v="0"/>
    <n v="1"/>
    <x v="4"/>
  </r>
  <r>
    <n v="3458"/>
    <s v="Patrícia Leite"/>
    <x v="0"/>
    <d v="2024-10-10T00:00:00"/>
    <x v="0"/>
    <n v="15"/>
    <x v="1"/>
    <s v="Yes"/>
    <x v="0"/>
    <s v="Yes"/>
    <n v="20"/>
    <n v="3"/>
    <x v="3"/>
  </r>
  <r>
    <n v="3459"/>
    <s v="Quênia Rocha"/>
    <x v="2"/>
    <d v="2024-10-11T00:00:00"/>
    <x v="1"/>
    <n v="10"/>
    <x v="0"/>
    <s v="No"/>
    <x v="1"/>
    <s v="Yes"/>
    <n v="20"/>
    <n v="10"/>
    <x v="2"/>
  </r>
  <r>
    <n v="3460"/>
    <s v="Rafael Torres"/>
    <x v="1"/>
    <d v="2024-10-12T00:00:00"/>
    <x v="0"/>
    <n v="5"/>
    <x v="2"/>
    <s v="No"/>
    <x v="1"/>
    <s v="No"/>
    <n v="0"/>
    <n v="0"/>
    <x v="1"/>
  </r>
  <r>
    <n v="3461"/>
    <s v="Sandra Gouveia"/>
    <x v="0"/>
    <d v="2024-10-13T00:00:00"/>
    <x v="1"/>
    <n v="15"/>
    <x v="0"/>
    <s v="Yes"/>
    <x v="0"/>
    <s v="Yes"/>
    <n v="20"/>
    <n v="15"/>
    <x v="14"/>
  </r>
  <r>
    <n v="3462"/>
    <s v="Tiago Lacerda"/>
    <x v="2"/>
    <d v="2024-10-14T00:00:00"/>
    <x v="0"/>
    <n v="10"/>
    <x v="1"/>
    <s v="No"/>
    <x v="1"/>
    <s v="Yes"/>
    <n v="20"/>
    <n v="15"/>
    <x v="7"/>
  </r>
  <r>
    <n v="3463"/>
    <s v="Ursula Fonseca"/>
    <x v="1"/>
    <d v="2024-10-15T00:00:00"/>
    <x v="1"/>
    <n v="5"/>
    <x v="0"/>
    <s v="No"/>
    <x v="1"/>
    <s v="No"/>
    <n v="0"/>
    <n v="1"/>
    <x v="4"/>
  </r>
  <r>
    <n v="3464"/>
    <s v="Vanessa Andrade"/>
    <x v="0"/>
    <d v="2024-10-16T00:00:00"/>
    <x v="0"/>
    <n v="15"/>
    <x v="2"/>
    <s v="Yes"/>
    <x v="0"/>
    <s v="Yes"/>
    <n v="20"/>
    <n v="7"/>
    <x v="12"/>
  </r>
  <r>
    <n v="3465"/>
    <s v="William Castro"/>
    <x v="2"/>
    <d v="2024-10-17T00:00:00"/>
    <x v="1"/>
    <n v="10"/>
    <x v="0"/>
    <s v="No"/>
    <x v="1"/>
    <s v="Yes"/>
    <n v="20"/>
    <n v="10"/>
    <x v="2"/>
  </r>
  <r>
    <n v="3466"/>
    <s v="Xavier Monteiro"/>
    <x v="1"/>
    <d v="2024-10-18T00:00:00"/>
    <x v="0"/>
    <n v="5"/>
    <x v="1"/>
    <s v="No"/>
    <x v="1"/>
    <s v="No"/>
    <n v="0"/>
    <n v="0"/>
    <x v="1"/>
  </r>
  <r>
    <n v="3467"/>
    <s v="Yasmin Figueira"/>
    <x v="0"/>
    <d v="2024-10-19T00:00:00"/>
    <x v="1"/>
    <n v="15"/>
    <x v="0"/>
    <s v="Yes"/>
    <x v="0"/>
    <s v="Yes"/>
    <n v="20"/>
    <n v="15"/>
    <x v="14"/>
  </r>
  <r>
    <n v="3468"/>
    <s v="Zacarias Mendonça"/>
    <x v="2"/>
    <d v="2024-10-20T00:00:00"/>
    <x v="0"/>
    <n v="10"/>
    <x v="2"/>
    <s v="No"/>
    <x v="1"/>
    <s v="Yes"/>
    <n v="20"/>
    <n v="12"/>
    <x v="10"/>
  </r>
  <r>
    <n v="3469"/>
    <s v="Amanda Menezes"/>
    <x v="1"/>
    <d v="2024-10-21T00:00:00"/>
    <x v="1"/>
    <n v="5"/>
    <x v="0"/>
    <s v="No"/>
    <x v="1"/>
    <s v="No"/>
    <n v="0"/>
    <n v="2"/>
    <x v="11"/>
  </r>
  <r>
    <n v="3470"/>
    <s v="Bruno Santos"/>
    <x v="0"/>
    <d v="2024-10-22T00:00:00"/>
    <x v="0"/>
    <n v="15"/>
    <x v="1"/>
    <s v="Yes"/>
    <x v="0"/>
    <s v="Yes"/>
    <n v="20"/>
    <n v="5"/>
    <x v="0"/>
  </r>
  <r>
    <n v="3471"/>
    <s v="Carla Ferreira"/>
    <x v="2"/>
    <d v="2024-10-23T00:00:00"/>
    <x v="1"/>
    <n v="10"/>
    <x v="0"/>
    <s v="No"/>
    <x v="1"/>
    <s v="Yes"/>
    <n v="20"/>
    <n v="10"/>
    <x v="2"/>
  </r>
  <r>
    <n v="3472"/>
    <s v="Diogo Alves"/>
    <x v="1"/>
    <d v="2024-10-24T00:00:00"/>
    <x v="0"/>
    <n v="5"/>
    <x v="2"/>
    <s v="No"/>
    <x v="1"/>
    <s v="No"/>
    <n v="0"/>
    <n v="0"/>
    <x v="1"/>
  </r>
  <r>
    <n v="3473"/>
    <s v="Elisa Neves"/>
    <x v="0"/>
    <d v="2024-10-25T00:00:00"/>
    <x v="1"/>
    <n v="15"/>
    <x v="0"/>
    <s v="Yes"/>
    <x v="0"/>
    <s v="Yes"/>
    <n v="20"/>
    <n v="3"/>
    <x v="3"/>
  </r>
  <r>
    <n v="3474"/>
    <s v="Fabiano Pires"/>
    <x v="2"/>
    <d v="2024-10-26T00:00:00"/>
    <x v="0"/>
    <n v="10"/>
    <x v="1"/>
    <s v="No"/>
    <x v="1"/>
    <s v="Yes"/>
    <n v="20"/>
    <n v="15"/>
    <x v="7"/>
  </r>
  <r>
    <n v="3475"/>
    <s v="Giovana Ribeiro"/>
    <x v="1"/>
    <d v="2024-10-27T00:00:00"/>
    <x v="1"/>
    <n v="5"/>
    <x v="0"/>
    <s v="No"/>
    <x v="1"/>
    <s v="No"/>
    <n v="0"/>
    <n v="1"/>
    <x v="4"/>
  </r>
  <r>
    <n v="3476"/>
    <s v="Hélio Costa"/>
    <x v="0"/>
    <d v="2024-10-28T00:00:00"/>
    <x v="0"/>
    <n v="15"/>
    <x v="2"/>
    <s v="Yes"/>
    <x v="0"/>
    <s v="Yes"/>
    <n v="20"/>
    <n v="7"/>
    <x v="12"/>
  </r>
  <r>
    <n v="3477"/>
    <s v="Íris Loureiro"/>
    <x v="2"/>
    <d v="2024-10-29T00:00:00"/>
    <x v="1"/>
    <n v="10"/>
    <x v="0"/>
    <s v="No"/>
    <x v="1"/>
    <s v="Yes"/>
    <n v="20"/>
    <n v="10"/>
    <x v="2"/>
  </r>
  <r>
    <n v="3478"/>
    <s v="João Pereira"/>
    <x v="1"/>
    <d v="2024-10-30T00:00:00"/>
    <x v="0"/>
    <n v="5"/>
    <x v="1"/>
    <s v="No"/>
    <x v="1"/>
    <s v="No"/>
    <n v="0"/>
    <n v="0"/>
    <x v="1"/>
  </r>
  <r>
    <n v="3479"/>
    <s v="Klara Silva"/>
    <x v="0"/>
    <d v="2024-10-31T00:00:00"/>
    <x v="1"/>
    <n v="15"/>
    <x v="0"/>
    <s v="Yes"/>
    <x v="0"/>
    <s v="Yes"/>
    <n v="20"/>
    <n v="20"/>
    <x v="8"/>
  </r>
  <r>
    <n v="3480"/>
    <s v="Luciana Barros"/>
    <x v="2"/>
    <d v="2024-11-01T00:00:00"/>
    <x v="0"/>
    <n v="10"/>
    <x v="2"/>
    <s v="No"/>
    <x v="1"/>
    <s v="Yes"/>
    <n v="20"/>
    <n v="15"/>
    <x v="7"/>
  </r>
  <r>
    <n v="3481"/>
    <s v="Marcos Gomes"/>
    <x v="1"/>
    <d v="2024-11-02T00:00:00"/>
    <x v="1"/>
    <n v="5"/>
    <x v="0"/>
    <s v="No"/>
    <x v="1"/>
    <s v="No"/>
    <n v="0"/>
    <n v="1"/>
    <x v="4"/>
  </r>
  <r>
    <n v="3482"/>
    <s v="Natália Soares"/>
    <x v="0"/>
    <d v="2024-11-03T00:00:00"/>
    <x v="0"/>
    <n v="15"/>
    <x v="1"/>
    <s v="Yes"/>
    <x v="0"/>
    <s v="Yes"/>
    <n v="20"/>
    <n v="3"/>
    <x v="3"/>
  </r>
  <r>
    <n v="3483"/>
    <s v="Oscar Machado"/>
    <x v="2"/>
    <d v="2024-11-04T00:00:00"/>
    <x v="1"/>
    <n v="10"/>
    <x v="0"/>
    <s v="No"/>
    <x v="1"/>
    <s v="Yes"/>
    <n v="20"/>
    <n v="10"/>
    <x v="2"/>
  </r>
  <r>
    <n v="3484"/>
    <s v="Patrícia Lima"/>
    <x v="1"/>
    <d v="2024-11-05T00:00:00"/>
    <x v="0"/>
    <n v="5"/>
    <x v="2"/>
    <s v="No"/>
    <x v="1"/>
    <s v="No"/>
    <n v="0"/>
    <n v="0"/>
    <x v="1"/>
  </r>
  <r>
    <n v="3485"/>
    <s v="Quirino Neto"/>
    <x v="0"/>
    <d v="2024-11-06T00:00:00"/>
    <x v="1"/>
    <n v="15"/>
    <x v="0"/>
    <s v="Yes"/>
    <x v="0"/>
    <s v="Yes"/>
    <n v="20"/>
    <n v="15"/>
    <x v="14"/>
  </r>
  <r>
    <n v="3486"/>
    <s v="Rafaela Souza"/>
    <x v="1"/>
    <d v="2024-11-07T00:00:00"/>
    <x v="0"/>
    <n v="5"/>
    <x v="0"/>
    <s v="No"/>
    <x v="1"/>
    <s v="No"/>
    <n v="0"/>
    <n v="0"/>
    <x v="1"/>
  </r>
  <r>
    <n v="3487"/>
    <s v="Sandro Almeida"/>
    <x v="0"/>
    <d v="2024-11-08T00:00:00"/>
    <x v="1"/>
    <n v="15"/>
    <x v="2"/>
    <s v="Yes"/>
    <x v="0"/>
    <s v="Yes"/>
    <n v="20"/>
    <n v="7"/>
    <x v="12"/>
  </r>
  <r>
    <n v="3488"/>
    <s v="Tânia Ribeiro"/>
    <x v="2"/>
    <d v="2024-11-09T00:00:00"/>
    <x v="0"/>
    <n v="10"/>
    <x v="1"/>
    <s v="No"/>
    <x v="1"/>
    <s v="Yes"/>
    <n v="20"/>
    <n v="10"/>
    <x v="2"/>
  </r>
  <r>
    <n v="3489"/>
    <s v="Ugo Dias"/>
    <x v="1"/>
    <d v="2024-11-10T00:00:00"/>
    <x v="1"/>
    <n v="5"/>
    <x v="2"/>
    <s v="No"/>
    <x v="1"/>
    <s v="No"/>
    <n v="0"/>
    <n v="1"/>
    <x v="4"/>
  </r>
  <r>
    <n v="3490"/>
    <s v="Valéria Lima"/>
    <x v="0"/>
    <d v="2024-11-11T00:00:00"/>
    <x v="0"/>
    <n v="15"/>
    <x v="0"/>
    <s v="Yes"/>
    <x v="0"/>
    <s v="Yes"/>
    <n v="20"/>
    <n v="15"/>
    <x v="14"/>
  </r>
  <r>
    <n v="3491"/>
    <s v="William Fernandes"/>
    <x v="2"/>
    <d v="2024-11-12T00:00:00"/>
    <x v="1"/>
    <n v="10"/>
    <x v="0"/>
    <s v="No"/>
    <x v="1"/>
    <s v="Yes"/>
    <n v="20"/>
    <n v="5"/>
    <x v="13"/>
  </r>
  <r>
    <n v="3492"/>
    <s v="Xuxa Mendes"/>
    <x v="1"/>
    <d v="2024-11-13T00:00:00"/>
    <x v="0"/>
    <n v="5"/>
    <x v="1"/>
    <s v="No"/>
    <x v="1"/>
    <s v="No"/>
    <n v="0"/>
    <n v="0"/>
    <x v="1"/>
  </r>
  <r>
    <n v="3493"/>
    <s v="Ygor Farias"/>
    <x v="0"/>
    <d v="2024-11-14T00:00:00"/>
    <x v="1"/>
    <n v="15"/>
    <x v="2"/>
    <s v="Yes"/>
    <x v="0"/>
    <s v="Yes"/>
    <n v="20"/>
    <n v="20"/>
    <x v="8"/>
  </r>
  <r>
    <n v="3494"/>
    <s v="Zilda Barros"/>
    <x v="2"/>
    <d v="2024-11-15T00:00:00"/>
    <x v="0"/>
    <n v="10"/>
    <x v="2"/>
    <s v="No"/>
    <x v="1"/>
    <s v="Yes"/>
    <n v="20"/>
    <n v="12"/>
    <x v="10"/>
  </r>
  <r>
    <n v="3495"/>
    <s v="Amanda Santos"/>
    <x v="1"/>
    <d v="2024-11-16T00:00:00"/>
    <x v="1"/>
    <n v="5"/>
    <x v="0"/>
    <s v="No"/>
    <x v="1"/>
    <s v="No"/>
    <n v="0"/>
    <n v="2"/>
    <x v="11"/>
  </r>
  <r>
    <n v="3496"/>
    <s v="Bruno Costa"/>
    <x v="0"/>
    <d v="2024-11-17T00:00:00"/>
    <x v="0"/>
    <n v="15"/>
    <x v="1"/>
    <s v="Yes"/>
    <x v="0"/>
    <s v="Yes"/>
    <n v="20"/>
    <n v="5"/>
    <x v="0"/>
  </r>
  <r>
    <n v="3497"/>
    <s v="Carla Rodrigues"/>
    <x v="2"/>
    <d v="2024-11-18T00:00:00"/>
    <x v="1"/>
    <n v="10"/>
    <x v="0"/>
    <s v="No"/>
    <x v="1"/>
    <s v="Yes"/>
    <n v="20"/>
    <n v="10"/>
    <x v="2"/>
  </r>
  <r>
    <n v="3498"/>
    <s v="Diogo Pereira"/>
    <x v="1"/>
    <d v="2024-11-19T00:00:00"/>
    <x v="0"/>
    <n v="5"/>
    <x v="2"/>
    <s v="No"/>
    <x v="1"/>
    <s v="No"/>
    <n v="0"/>
    <n v="0"/>
    <x v="1"/>
  </r>
  <r>
    <n v="3499"/>
    <s v="Elisa Correia"/>
    <x v="0"/>
    <d v="2024-11-20T00:00:00"/>
    <x v="1"/>
    <n v="15"/>
    <x v="0"/>
    <s v="Yes"/>
    <x v="0"/>
    <s v="Yes"/>
    <n v="20"/>
    <n v="3"/>
    <x v="3"/>
  </r>
  <r>
    <n v="3500"/>
    <s v="Fábio Lourenço"/>
    <x v="2"/>
    <d v="2024-11-21T00:00:00"/>
    <x v="0"/>
    <n v="10"/>
    <x v="1"/>
    <s v="No"/>
    <x v="1"/>
    <s v="Yes"/>
    <n v="20"/>
    <n v="15"/>
    <x v="7"/>
  </r>
  <r>
    <n v="3501"/>
    <s v="Gabriela Neves"/>
    <x v="1"/>
    <d v="2024-11-22T00:00:00"/>
    <x v="1"/>
    <n v="5"/>
    <x v="0"/>
    <s v="No"/>
    <x v="1"/>
    <s v="No"/>
    <n v="0"/>
    <n v="1"/>
    <x v="4"/>
  </r>
  <r>
    <n v="3502"/>
    <s v="Henrique Gonçalves"/>
    <x v="0"/>
    <d v="2024-11-23T00:00:00"/>
    <x v="0"/>
    <n v="15"/>
    <x v="2"/>
    <s v="Yes"/>
    <x v="0"/>
    <s v="Yes"/>
    <n v="20"/>
    <n v="7"/>
    <x v="12"/>
  </r>
  <r>
    <n v="3503"/>
    <s v="Íris Santos"/>
    <x v="2"/>
    <d v="2024-11-24T00:00:00"/>
    <x v="1"/>
    <n v="10"/>
    <x v="0"/>
    <s v="No"/>
    <x v="1"/>
    <s v="Yes"/>
    <n v="20"/>
    <n v="10"/>
    <x v="2"/>
  </r>
  <r>
    <n v="3504"/>
    <s v="João Marcelo Alves"/>
    <x v="1"/>
    <d v="2024-11-25T00:00:00"/>
    <x v="0"/>
    <n v="5"/>
    <x v="1"/>
    <s v="No"/>
    <x v="1"/>
    <s v="No"/>
    <n v="0"/>
    <n v="0"/>
    <x v="1"/>
  </r>
  <r>
    <n v="3505"/>
    <s v="Klara Fonseca"/>
    <x v="0"/>
    <d v="2024-11-26T00:00:00"/>
    <x v="1"/>
    <n v="15"/>
    <x v="0"/>
    <s v="Yes"/>
    <x v="0"/>
    <s v="Yes"/>
    <n v="20"/>
    <n v="20"/>
    <x v="8"/>
  </r>
  <r>
    <n v="3506"/>
    <s v="Lucas Mendonça"/>
    <x v="2"/>
    <d v="2024-11-27T00:00:00"/>
    <x v="0"/>
    <n v="10"/>
    <x v="2"/>
    <s v="No"/>
    <x v="1"/>
    <s v="Yes"/>
    <n v="20"/>
    <n v="15"/>
    <x v="7"/>
  </r>
  <r>
    <n v="3507"/>
    <s v="Marcela Torres"/>
    <x v="1"/>
    <d v="2024-11-28T00:00:00"/>
    <x v="1"/>
    <n v="5"/>
    <x v="0"/>
    <s v="No"/>
    <x v="1"/>
    <s v="No"/>
    <n v="0"/>
    <n v="1"/>
    <x v="4"/>
  </r>
  <r>
    <n v="3508"/>
    <s v="Natália Castro"/>
    <x v="0"/>
    <d v="2024-11-29T00:00:00"/>
    <x v="0"/>
    <n v="15"/>
    <x v="1"/>
    <s v="Yes"/>
    <x v="0"/>
    <s v="Yes"/>
    <n v="20"/>
    <n v="3"/>
    <x v="3"/>
  </r>
  <r>
    <n v="3509"/>
    <s v="Oscar Martins"/>
    <x v="2"/>
    <d v="2024-11-30T00:00:00"/>
    <x v="1"/>
    <n v="10"/>
    <x v="0"/>
    <s v="No"/>
    <x v="1"/>
    <s v="Yes"/>
    <n v="20"/>
    <n v="10"/>
    <x v="2"/>
  </r>
  <r>
    <n v="3510"/>
    <s v="Patrícia Oliveira"/>
    <x v="1"/>
    <d v="2024-12-01T00:00:00"/>
    <x v="0"/>
    <n v="5"/>
    <x v="2"/>
    <s v="No"/>
    <x v="1"/>
    <s v="No"/>
    <n v="0"/>
    <n v="0"/>
    <x v="1"/>
  </r>
  <r>
    <n v="3511"/>
    <s v="Quentin Nogueira"/>
    <x v="0"/>
    <d v="2024-12-02T00:00:00"/>
    <x v="1"/>
    <n v="15"/>
    <x v="0"/>
    <s v="Yes"/>
    <x v="0"/>
    <s v="Yes"/>
    <n v="20"/>
    <n v="15"/>
    <x v="14"/>
  </r>
  <r>
    <n v="3512"/>
    <s v="Raquel Silva"/>
    <x v="2"/>
    <d v="2024-12-03T00:00:00"/>
    <x v="0"/>
    <n v="10"/>
    <x v="1"/>
    <s v="No"/>
    <x v="1"/>
    <s v="Yes"/>
    <n v="20"/>
    <n v="15"/>
    <x v="7"/>
  </r>
  <r>
    <n v="3513"/>
    <s v="Sandro Gomes"/>
    <x v="1"/>
    <d v="2024-12-04T00:00:00"/>
    <x v="1"/>
    <n v="5"/>
    <x v="0"/>
    <s v="No"/>
    <x v="1"/>
    <s v="No"/>
    <n v="0"/>
    <n v="1"/>
    <x v="4"/>
  </r>
  <r>
    <n v="3514"/>
    <s v="Tânia Machado"/>
    <x v="0"/>
    <d v="2024-12-05T00:00:00"/>
    <x v="0"/>
    <n v="15"/>
    <x v="2"/>
    <s v="Yes"/>
    <x v="0"/>
    <s v="Yes"/>
    <n v="20"/>
    <n v="7"/>
    <x v="12"/>
  </r>
  <r>
    <n v="3515"/>
    <s v="Ursula Silva"/>
    <x v="2"/>
    <d v="2024-12-06T00:00:00"/>
    <x v="1"/>
    <n v="10"/>
    <x v="0"/>
    <s v="No"/>
    <x v="1"/>
    <s v="Yes"/>
    <n v="20"/>
    <n v="10"/>
    <x v="2"/>
  </r>
  <r>
    <n v="3516"/>
    <s v="Vanessa Moraes"/>
    <x v="1"/>
    <d v="2024-12-07T00:00:00"/>
    <x v="0"/>
    <n v="5"/>
    <x v="1"/>
    <s v="No"/>
    <x v="1"/>
    <s v="No"/>
    <n v="0"/>
    <n v="0"/>
    <x v="1"/>
  </r>
  <r>
    <n v="3517"/>
    <s v="William Carvalho"/>
    <x v="0"/>
    <d v="2024-12-08T00:00:00"/>
    <x v="1"/>
    <n v="15"/>
    <x v="0"/>
    <s v="Yes"/>
    <x v="0"/>
    <s v="Yes"/>
    <n v="20"/>
    <n v="20"/>
    <x v="8"/>
  </r>
  <r>
    <n v="3518"/>
    <s v="Xavier Reis"/>
    <x v="2"/>
    <d v="2024-12-09T00:00:00"/>
    <x v="0"/>
    <n v="10"/>
    <x v="2"/>
    <s v="No"/>
    <x v="1"/>
    <s v="Yes"/>
    <n v="20"/>
    <n v="12"/>
    <x v="10"/>
  </r>
  <r>
    <n v="3519"/>
    <s v="Yasmin Rocha"/>
    <x v="1"/>
    <d v="2024-12-10T00:00:00"/>
    <x v="1"/>
    <n v="5"/>
    <x v="0"/>
    <s v="No"/>
    <x v="1"/>
    <s v="No"/>
    <n v="0"/>
    <n v="2"/>
    <x v="11"/>
  </r>
  <r>
    <n v="3520"/>
    <s v="Zacarias Duarte"/>
    <x v="0"/>
    <d v="2024-12-11T00:00:00"/>
    <x v="0"/>
    <n v="15"/>
    <x v="1"/>
    <s v="Yes"/>
    <x v="0"/>
    <s v="Yes"/>
    <n v="20"/>
    <n v="5"/>
    <x v="0"/>
  </r>
  <r>
    <n v="3521"/>
    <s v="Amanda Freitas"/>
    <x v="2"/>
    <d v="2024-12-12T00:00:00"/>
    <x v="1"/>
    <n v="10"/>
    <x v="0"/>
    <s v="No"/>
    <x v="1"/>
    <s v="Yes"/>
    <n v="20"/>
    <n v="10"/>
    <x v="2"/>
  </r>
  <r>
    <n v="3522"/>
    <s v="Bruno Almeida"/>
    <x v="1"/>
    <d v="2024-12-13T00:00:00"/>
    <x v="0"/>
    <n v="5"/>
    <x v="2"/>
    <s v="No"/>
    <x v="1"/>
    <s v="No"/>
    <n v="0"/>
    <n v="0"/>
    <x v="1"/>
  </r>
  <r>
    <n v="3523"/>
    <s v="Carla Siqueira"/>
    <x v="0"/>
    <d v="2024-12-14T00:00:00"/>
    <x v="1"/>
    <n v="15"/>
    <x v="0"/>
    <s v="Yes"/>
    <x v="0"/>
    <s v="Yes"/>
    <n v="20"/>
    <n v="3"/>
    <x v="3"/>
  </r>
  <r>
    <n v="3524"/>
    <s v="Diogo Ramos"/>
    <x v="2"/>
    <d v="2024-12-15T00:00:00"/>
    <x v="0"/>
    <n v="10"/>
    <x v="1"/>
    <s v="No"/>
    <x v="1"/>
    <s v="Yes"/>
    <n v="20"/>
    <n v="15"/>
    <x v="7"/>
  </r>
  <r>
    <n v="3525"/>
    <s v="Elisa Magalhães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70D1E-FB0A-441D-BABC-35A47632CE9B}" name="Tabela dinâmica1" cacheId="3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B8:C11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9FD15-9734-4BF5-B9E4-52610F0B3FC1}" name="Tabela dinâmica3" cacheId="3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B30:C34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A602E-A816-4E70-B240-9F7EA047257A}" name="Tabela dinâmica2" cacheId="33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B17:C21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9C60DF11-18B6-4061-8219-DBB4EA59B7D5}" sourceName="Subscription Type">
  <pivotTables>
    <pivotTable tabId="3" name="Tabela dinâmica1"/>
    <pivotTable tabId="3" name="Tabela dinâmica2"/>
    <pivotTable tabId="3" name="Tabela dinâmica3"/>
  </pivotTables>
  <data>
    <tabular pivotCacheId="1190995528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6F375620-3070-48A1-A8B0-27D2CF68EA04}" cache="SegmentaçãodeDados_Subscription_Type1" caption="Subscription Type" style="SlicerStyleDark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1" zoomScaleNormal="100" workbookViewId="0">
      <selection activeCell="M21" sqref="M21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/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D39"/>
  <sheetViews>
    <sheetView showGridLines="0" topLeftCell="A22" workbookViewId="0">
      <selection activeCell="C36" sqref="C36"/>
    </sheetView>
  </sheetViews>
  <sheetFormatPr defaultRowHeight="15"/>
  <cols>
    <col min="2" max="2" width="16" customWidth="1"/>
    <col min="3" max="3" width="33.85546875" customWidth="1"/>
    <col min="4" max="4" width="35.42578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3" ht="21">
      <c r="B1" s="15" t="s">
        <v>313</v>
      </c>
      <c r="C1" s="16"/>
    </row>
    <row r="3" spans="2:3">
      <c r="B3" s="14" t="s">
        <v>314</v>
      </c>
    </row>
    <row r="4" spans="2:3">
      <c r="B4" s="14" t="s">
        <v>315</v>
      </c>
    </row>
    <row r="6" spans="2:3">
      <c r="B6" s="12" t="s">
        <v>17</v>
      </c>
      <c r="C6" t="s">
        <v>35</v>
      </c>
    </row>
    <row r="8" spans="2:3">
      <c r="B8" s="12" t="s">
        <v>15</v>
      </c>
      <c r="C8" t="s">
        <v>316</v>
      </c>
    </row>
    <row r="9" spans="2:3">
      <c r="B9" t="s">
        <v>30</v>
      </c>
      <c r="C9" s="13">
        <v>806</v>
      </c>
    </row>
    <row r="10" spans="2:3">
      <c r="B10" t="s">
        <v>26</v>
      </c>
      <c r="C10" s="13">
        <v>1502</v>
      </c>
    </row>
    <row r="11" spans="2:3">
      <c r="B11" t="s">
        <v>317</v>
      </c>
      <c r="C11" s="13">
        <v>2308</v>
      </c>
    </row>
    <row r="13" spans="2:3">
      <c r="B13" t="s">
        <v>318</v>
      </c>
    </row>
    <row r="15" spans="2:3">
      <c r="B15" s="12" t="s">
        <v>17</v>
      </c>
      <c r="C15" t="s">
        <v>35</v>
      </c>
    </row>
    <row r="17" spans="2:4">
      <c r="B17" s="12" t="s">
        <v>13</v>
      </c>
      <c r="C17" t="s">
        <v>319</v>
      </c>
    </row>
    <row r="18" spans="2:4">
      <c r="B18" t="s">
        <v>29</v>
      </c>
      <c r="C18" s="20">
        <v>0</v>
      </c>
    </row>
    <row r="19" spans="2:4">
      <c r="B19" t="s">
        <v>34</v>
      </c>
      <c r="C19" s="20">
        <v>0</v>
      </c>
    </row>
    <row r="20" spans="2:4">
      <c r="B20" t="s">
        <v>25</v>
      </c>
      <c r="C20" s="20">
        <v>990</v>
      </c>
    </row>
    <row r="21" spans="2:4">
      <c r="B21" t="s">
        <v>317</v>
      </c>
      <c r="C21" s="20">
        <v>990</v>
      </c>
    </row>
    <row r="23" spans="2:4">
      <c r="C23" s="21">
        <f>C21</f>
        <v>990</v>
      </c>
    </row>
    <row r="25" spans="2:4">
      <c r="B25" s="19"/>
      <c r="C25" s="19"/>
      <c r="D25" s="19"/>
    </row>
    <row r="26" spans="2:4">
      <c r="B26" s="23" t="s">
        <v>320</v>
      </c>
    </row>
    <row r="28" spans="2:4">
      <c r="B28" s="12" t="s">
        <v>17</v>
      </c>
      <c r="C28" t="s">
        <v>35</v>
      </c>
    </row>
    <row r="30" spans="2:4">
      <c r="B30" s="12" t="s">
        <v>13</v>
      </c>
      <c r="C30" t="s">
        <v>321</v>
      </c>
    </row>
    <row r="31" spans="2:4">
      <c r="B31" t="s">
        <v>29</v>
      </c>
      <c r="C31" s="13">
        <v>0</v>
      </c>
    </row>
    <row r="32" spans="2:4">
      <c r="B32" t="s">
        <v>34</v>
      </c>
      <c r="C32" s="13">
        <v>480</v>
      </c>
    </row>
    <row r="33" spans="2:4">
      <c r="B33" t="s">
        <v>25</v>
      </c>
      <c r="C33" s="13">
        <v>660</v>
      </c>
    </row>
    <row r="34" spans="2:4">
      <c r="B34" t="s">
        <v>317</v>
      </c>
      <c r="C34" s="13">
        <v>1140</v>
      </c>
    </row>
    <row r="36" spans="2:4">
      <c r="C36" s="13">
        <f>C34</f>
        <v>1140</v>
      </c>
    </row>
    <row r="39" spans="2:4">
      <c r="D39" s="13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M69"/>
  <sheetViews>
    <sheetView showGridLines="0" showRowColHeaders="0" tabSelected="1" zoomScale="80" zoomScaleNormal="80" workbookViewId="0">
      <selection activeCell="M7" sqref="M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5.85546875" style="18" customWidth="1"/>
    <col min="2" max="2" width="3.5703125" customWidth="1"/>
    <col min="3" max="3" width="12.140625" customWidth="1"/>
    <col min="4" max="4" width="10.28515625" customWidth="1"/>
    <col min="5" max="5" width="18.85546875" customWidth="1"/>
    <col min="6" max="6" width="2.5703125" customWidth="1"/>
    <col min="7" max="7" width="4.140625" customWidth="1"/>
    <col min="8" max="8" width="16.42578125" customWidth="1"/>
    <col min="9" max="9" width="21" customWidth="1"/>
    <col min="10" max="10" width="10.140625" customWidth="1"/>
    <col min="12" max="12" width="6.5703125" customWidth="1"/>
    <col min="15" max="15" width="16.140625" bestFit="1" customWidth="1"/>
    <col min="16" max="17" width="18.7109375" bestFit="1" customWidth="1"/>
    <col min="18" max="18" width="8.140625" bestFit="1" customWidth="1"/>
    <col min="19" max="30" width="9.28515625" bestFit="1" customWidth="1"/>
    <col min="31" max="31" width="11.28515625" bestFit="1" customWidth="1"/>
  </cols>
  <sheetData>
    <row r="2" spans="1:13" ht="39" customHeight="1">
      <c r="C2" s="27"/>
      <c r="D2" s="17" t="s">
        <v>322</v>
      </c>
      <c r="E2" s="17"/>
      <c r="F2" s="17"/>
      <c r="G2" s="17"/>
      <c r="H2" s="17"/>
      <c r="I2" s="17"/>
      <c r="J2" s="17"/>
      <c r="K2" s="27"/>
      <c r="L2" s="27"/>
      <c r="M2" s="27"/>
    </row>
    <row r="3" spans="1:13" ht="24" customHeight="1"/>
    <row r="4" spans="1:13" s="7" customFormat="1" ht="18.75" customHeight="1">
      <c r="A4" s="18"/>
    </row>
    <row r="5" spans="1:13" s="7" customFormat="1" ht="10.5" customHeight="1">
      <c r="A5" s="18"/>
    </row>
    <row r="6" spans="1:13" s="7" customFormat="1" ht="26.25" customHeight="1">
      <c r="A6" s="18"/>
      <c r="C6" s="29"/>
      <c r="D6" s="30"/>
      <c r="E6" s="30"/>
      <c r="F6" s="30"/>
      <c r="G6" s="25"/>
      <c r="H6" s="31"/>
      <c r="I6" s="4"/>
      <c r="J6" s="4"/>
    </row>
    <row r="7" spans="1:13" s="7" customFormat="1" ht="60.75" customHeight="1">
      <c r="A7" s="18"/>
      <c r="C7" s="22"/>
      <c r="D7" s="22"/>
      <c r="E7" s="26">
        <f>C̳álculos!C23</f>
        <v>990</v>
      </c>
      <c r="F7" s="24"/>
      <c r="G7" s="25"/>
      <c r="H7" s="22"/>
      <c r="I7" s="28">
        <f>C̳álculos!C34</f>
        <v>1140</v>
      </c>
      <c r="J7" s="22"/>
    </row>
    <row r="8" spans="1:13" s="7" customFormat="1">
      <c r="A8" s="18"/>
    </row>
    <row r="9" spans="1:13" s="7" customFormat="1">
      <c r="A9" s="18"/>
    </row>
    <row r="10" spans="1:13" s="7" customFormat="1">
      <c r="A10" s="18"/>
    </row>
    <row r="11" spans="1:13" s="7" customFormat="1">
      <c r="A11" s="18"/>
    </row>
    <row r="12" spans="1:13" s="7" customFormat="1">
      <c r="A12" s="18"/>
    </row>
    <row r="13" spans="1:13" s="7" customFormat="1">
      <c r="A13" s="18"/>
    </row>
    <row r="14" spans="1:13" s="7" customFormat="1">
      <c r="A14" s="18"/>
    </row>
    <row r="15" spans="1:13" s="7" customFormat="1">
      <c r="A15" s="18"/>
    </row>
    <row r="16" spans="1:13" s="7" customFormat="1">
      <c r="A16" s="18"/>
    </row>
    <row r="17" spans="1:1" s="7" customFormat="1">
      <c r="A17" s="18"/>
    </row>
    <row r="18" spans="1:1" s="7" customFormat="1">
      <c r="A18" s="18"/>
    </row>
    <row r="19" spans="1:1" s="7" customFormat="1">
      <c r="A19" s="18"/>
    </row>
    <row r="20" spans="1:1" s="7" customFormat="1">
      <c r="A20" s="18"/>
    </row>
    <row r="21" spans="1:1" s="7" customFormat="1">
      <c r="A21" s="18"/>
    </row>
    <row r="22" spans="1:1" s="7" customFormat="1">
      <c r="A22" s="18"/>
    </row>
    <row r="23" spans="1:1" s="7" customFormat="1">
      <c r="A23" s="18"/>
    </row>
    <row r="24" spans="1:1" s="7" customFormat="1">
      <c r="A24" s="18"/>
    </row>
    <row r="25" spans="1:1" s="7" customFormat="1">
      <c r="A25" s="18"/>
    </row>
    <row r="26" spans="1:1" s="7" customFormat="1">
      <c r="A26" s="18"/>
    </row>
    <row r="27" spans="1:1" s="7" customFormat="1">
      <c r="A27" s="18"/>
    </row>
    <row r="28" spans="1:1" s="7" customFormat="1">
      <c r="A28" s="18"/>
    </row>
    <row r="29" spans="1:1" s="7" customFormat="1">
      <c r="A29" s="18"/>
    </row>
    <row r="30" spans="1:1" s="7" customFormat="1">
      <c r="A30" s="18"/>
    </row>
    <row r="31" spans="1:1" s="7" customFormat="1">
      <c r="A31" s="18"/>
    </row>
    <row r="32" spans="1:1" s="7" customFormat="1">
      <c r="A32" s="18"/>
    </row>
    <row r="33" spans="1:1" s="7" customFormat="1">
      <c r="A33" s="18"/>
    </row>
    <row r="34" spans="1:1" s="7" customFormat="1">
      <c r="A34" s="18"/>
    </row>
    <row r="35" spans="1:1" s="7" customFormat="1">
      <c r="A35" s="18"/>
    </row>
    <row r="36" spans="1:1" s="7" customFormat="1">
      <c r="A36" s="18"/>
    </row>
    <row r="37" spans="1:1" s="7" customFormat="1">
      <c r="A37" s="18"/>
    </row>
    <row r="38" spans="1:1" s="7" customFormat="1">
      <c r="A38" s="18"/>
    </row>
    <row r="39" spans="1:1" s="7" customFormat="1">
      <c r="A39" s="18"/>
    </row>
    <row r="40" spans="1:1" s="7" customFormat="1">
      <c r="A40" s="18"/>
    </row>
    <row r="41" spans="1:1" s="7" customFormat="1">
      <c r="A41" s="18"/>
    </row>
    <row r="42" spans="1:1" s="7" customFormat="1">
      <c r="A42" s="18"/>
    </row>
    <row r="43" spans="1:1" s="7" customFormat="1">
      <c r="A43" s="18"/>
    </row>
    <row r="44" spans="1:1" s="7" customFormat="1">
      <c r="A44" s="18"/>
    </row>
    <row r="45" spans="1:1" s="7" customFormat="1">
      <c r="A45" s="18"/>
    </row>
    <row r="46" spans="1:1" s="7" customFormat="1">
      <c r="A46" s="18"/>
    </row>
    <row r="47" spans="1:1" s="7" customFormat="1">
      <c r="A47" s="18"/>
    </row>
    <row r="48" spans="1:1" s="7" customFormat="1">
      <c r="A48" s="18"/>
    </row>
    <row r="49" spans="1:1" s="7" customFormat="1">
      <c r="A49" s="18"/>
    </row>
    <row r="50" spans="1:1" s="7" customFormat="1">
      <c r="A50" s="18"/>
    </row>
    <row r="51" spans="1:1" s="7" customFormat="1">
      <c r="A51" s="18"/>
    </row>
    <row r="52" spans="1:1" s="7" customFormat="1">
      <c r="A52" s="18"/>
    </row>
    <row r="53" spans="1:1" s="7" customFormat="1">
      <c r="A53" s="18"/>
    </row>
    <row r="54" spans="1:1" s="7" customFormat="1">
      <c r="A54" s="18"/>
    </row>
    <row r="55" spans="1:1" s="7" customFormat="1">
      <c r="A55" s="18"/>
    </row>
    <row r="56" spans="1:1" s="7" customFormat="1">
      <c r="A56" s="18"/>
    </row>
    <row r="57" spans="1:1" s="7" customFormat="1">
      <c r="A57" s="18"/>
    </row>
    <row r="58" spans="1:1" s="7" customFormat="1">
      <c r="A58" s="18"/>
    </row>
    <row r="59" spans="1:1" s="7" customFormat="1">
      <c r="A59" s="18"/>
    </row>
    <row r="60" spans="1:1" s="7" customFormat="1">
      <c r="A60" s="18"/>
    </row>
    <row r="61" spans="1:1" s="7" customFormat="1">
      <c r="A61" s="18"/>
    </row>
    <row r="62" spans="1:1" s="7" customFormat="1">
      <c r="A62" s="18"/>
    </row>
    <row r="63" spans="1:1" s="7" customFormat="1">
      <c r="A63" s="18"/>
    </row>
    <row r="64" spans="1:1" s="7" customFormat="1">
      <c r="A64" s="18"/>
    </row>
    <row r="65" spans="1:1" s="7" customFormat="1">
      <c r="A65" s="18"/>
    </row>
    <row r="66" spans="1:1" s="7" customFormat="1">
      <c r="A66" s="18"/>
    </row>
    <row r="67" spans="1:1" s="7" customFormat="1">
      <c r="A67" s="18"/>
    </row>
    <row r="68" spans="1:1" s="7" customFormat="1">
      <c r="A68" s="18"/>
    </row>
    <row r="69" spans="1:1" s="7" customFormat="1">
      <c r="A69" s="1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FFD3D529-BCD3-4ECD-9B2A-42924892FFCB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Luciene Godoy</cp:lastModifiedBy>
  <cp:revision/>
  <dcterms:created xsi:type="dcterms:W3CDTF">2024-12-19T13:13:10Z</dcterms:created>
  <dcterms:modified xsi:type="dcterms:W3CDTF">2025-12-17T00:42:14Z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